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Price Elasticity" sheetId="3" state="visible" r:id="rId5"/>
    <sheet name="Cost to Serve" sheetId="4" state="visible" r:id="rId6"/>
    <sheet name="Model A Metered Freemium" sheetId="5" state="visible" r:id="rId7"/>
    <sheet name="Model B Institutional" sheetId="6" state="visible" r:id="rId8"/>
    <sheet name="Model C Assessment" sheetId="7" state="visible" r:id="rId9"/>
    <sheet name="Comparison" sheetId="8" state="visible" r:id="rId10"/>
    <sheet name="Sensitivity"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<sst xmlns="http://schemas.openxmlformats.org/spreadsheetml/2006/main" count="582" uniqueCount="481">
  <si>
    <t xml:space="preserve">Slang — Commercial Model v1.0</t>
  </si>
  <si>
    <t xml:space="preserve">What this is</t>
  </si>
  <si>
    <t xml:space="preserve">A driver-based model for Slang as an Arabic-L1 English pronunciation product, GCC-first. It replaces the model audited on 2026-09-12, which reported revenue that did not follow from its own inputs (the paid-conversion column was never applied) and overstated 2027 by roughly 20x.</t>
  </si>
  <si>
    <t xml:space="preserve">The finding it encodes</t>
  </si>
  <si>
    <t xml:space="preserve">Inference is paid on EVERY monthly active. Revenue is earned on the 3-8% who convert. At the old architecture's cost-to-serve, gross profit was negative in all three forecast years. The free tier — not customer acquisition — was the thing breaking the business.</t>
  </si>
  <si>
    <t xml:space="preserve">How the fix works</t>
  </si>
  <si>
    <t xml:space="preserve">'Cost to Serve' models the ADR-0001 architecture: self-hosted wav2vec2 GOP replaces per-call LLM assessment. The same investment that creates the technical moat is what makes a free tier survivable. That is the central claim of this model and it is testable in cell terms.</t>
  </si>
  <si>
    <t xml:space="preserve">COLOUR CONVENTION</t>
  </si>
  <si>
    <t xml:space="preserve">Blue text</t>
  </si>
  <si>
    <t xml:space="preserve">A hardcoded input. Change these.</t>
  </si>
  <si>
    <t xml:space="preserve">Black text</t>
  </si>
  <si>
    <t xml:space="preserve">A formula. Do not overwrite — it will break the model.</t>
  </si>
  <si>
    <t xml:space="preserve">Green text</t>
  </si>
  <si>
    <t xml:space="preserve">A link to another sheet in this workbook.</t>
  </si>
  <si>
    <t xml:space="preserve">Yellow fill</t>
  </si>
  <si>
    <t xml:space="preserve">A KEY assumption that materially moves the answer, or an estimate that still needs validating. Read the note column before trusting it.</t>
  </si>
  <si>
    <t xml:space="preserve">ORDER OF USE</t>
  </si>
  <si>
    <t xml:space="preserve">1. Assumptions</t>
  </si>
  <si>
    <t xml:space="preserve">Set market size, funnel, retention and cost drivers. Everything downstream reads from here.</t>
  </si>
  <si>
    <t xml:space="preserve">2. Price Elasticity</t>
  </si>
  <si>
    <t xml:space="preserve">Derives the revenue-maximising price and the affordability ceiling per market from a constant-elasticity demand curve. Set the elasticity here.</t>
  </si>
  <si>
    <t xml:space="preserve">3. Cost to Serve</t>
  </si>
  <si>
    <t xml:space="preserve">Builds cost per session bottom-up for the current and target architectures.</t>
  </si>
  <si>
    <t xml:space="preserve">4. Models A / B / C</t>
  </si>
  <si>
    <t xml:space="preserve">Three business models, each a full P&amp;L on the same drivers.</t>
  </si>
  <si>
    <t xml:space="preserve">5. Comparison</t>
  </si>
  <si>
    <t xml:space="preserve">Side by side, with the recommendation and the kill criteria.</t>
  </si>
  <si>
    <t xml:space="preserve">6. Sensitivity</t>
  </si>
  <si>
    <t xml:space="preserve">What breaks the recommended model, and at what value.</t>
  </si>
  <si>
    <t xml:space="preserve">7. Sources</t>
  </si>
  <si>
    <t xml:space="preserve">Every external number, with where it came from. Nothing in this workbook is asserted without a source or an explicit ESTIMATE flag.</t>
  </si>
  <si>
    <t xml:space="preserve">RULE</t>
  </si>
  <si>
    <t xml:space="preserve">If you add a number to a slide from this workbook, cite the cell. If a cell is yellow, say it is an estimate. That discipline is what the 2026-09-12 audit found missing, and it is cheaper than being caught.</t>
  </si>
  <si>
    <t xml:space="preserve">Assumptions — every driver in the model</t>
  </si>
  <si>
    <t xml:space="preserve">Driver</t>
  </si>
  <si>
    <t xml:space="preserve">Value</t>
  </si>
  <si>
    <t xml:space="preserve">Unit</t>
  </si>
  <si>
    <t xml:space="preserve">Source / note</t>
  </si>
  <si>
    <t xml:space="preserve">MARKET SIZING (top-down)</t>
  </si>
  <si>
    <t xml:space="preserve">Global digital English learning market, 2026</t>
  </si>
  <si>
    <t xml:space="preserve">USD</t>
  </si>
  <si>
    <t xml:space="preserve">Mordor Intelligence, Digital English Language Learning Market. 2026 figure; $31.62bn by 2031, 14.62% CAGR.</t>
  </si>
  <si>
    <t xml:space="preserve">Middle East e-learning market, 2025</t>
  </si>
  <si>
    <t xml:space="preserve">IMARC, Middle East E-Learning Market. $28.28bn by 2034, 6.41% CAGR.</t>
  </si>
  <si>
    <t xml:space="preserve">MENA share of digital English learning</t>
  </si>
  <si>
    <t xml:space="preserve">%</t>
  </si>
  <si>
    <t xml:space="preserve">ESTIMATE — validate. Mordor groups MEA with South America and reports only 'double-digit growth'. Bottom-up validation required before this number goes on a slide.</t>
  </si>
  <si>
    <t xml:space="preserve">TAM — MENA digital English learning</t>
  </si>
  <si>
    <t xml:space="preserve">Top-down. Cross-check against a bottom-up seat count before use.</t>
  </si>
  <si>
    <t xml:space="preserve">Pronunciation/speaking share of that spend</t>
  </si>
  <si>
    <t xml:space="preserve">ESTIMATE — validate. Speaking-focused tools are a minority of English-learning spend; ELSA is the reference comparable.</t>
  </si>
  <si>
    <t xml:space="preserve">SAM — MENA speaking-practice segment</t>
  </si>
  <si>
    <t xml:space="preserve">Realistic 3-year share of SAM</t>
  </si>
  <si>
    <t xml:space="preserve">ESTIMATE — validate. 0.5% of a $115m segment. Deliberately small: this is a solo-founder product with no distribution yet.</t>
  </si>
  <si>
    <t xml:space="preserve">SOM — 3-year revenue opportunity</t>
  </si>
  <si>
    <t xml:space="preserve">FUNNEL</t>
  </si>
  <si>
    <t xml:space="preserve">Year 1 monthly active users (MAU), exit</t>
  </si>
  <si>
    <t xml:space="preserve">users</t>
  </si>
  <si>
    <t xml:space="preserve">Planning input. Set by what acquisition you can actually run, not by TAM.</t>
  </si>
  <si>
    <t xml:space="preserve">Year 2 MAU, exit</t>
  </si>
  <si>
    <t xml:space="preserve">Planning input.</t>
  </si>
  <si>
    <t xml:space="preserve">Year 3 MAU, exit</t>
  </si>
  <si>
    <t xml:space="preserve">Download-to-trial, 30 days</t>
  </si>
  <si>
    <t xml:space="preserve">RevenueCat, State of Subscription Apps 2026 — Education: 6.5% median D30 download-to-trial.</t>
  </si>
  <si>
    <t xml:space="preserve">Trial-to-paid conversion</t>
  </si>
  <si>
    <t xml:space="preserve">ESTIMATE — validate. Not broken out for Education in the RevenueCat report. 40-50% is the common range for a 7-day trial with a payment method on file.</t>
  </si>
  <si>
    <t xml:space="preserve">Blended MAU-to-paid conversion</t>
  </si>
  <si>
    <t xml:space="preserve">This is the number the old model printed in a column and then never used.</t>
  </si>
  <si>
    <t xml:space="preserve">Annual plan share of paid base</t>
  </si>
  <si>
    <t xml:space="preserve">RevenueCat 2026: education is among the categories favouring annual (59-66%).</t>
  </si>
  <si>
    <t xml:space="preserve">Annual plan discount vs 12x monthly</t>
  </si>
  <si>
    <t xml:space="preserve">Market convention. ELSA annual is ~39% below its monthly rate ($13.33 vs $21.99).</t>
  </si>
  <si>
    <t xml:space="preserve">Monthly churn, paid</t>
  </si>
  <si>
    <t xml:space="preserve">ESTIMATE — validate. Implies ~18 month average life. Language apps churn hard after the first plateau.</t>
  </si>
  <si>
    <t xml:space="preserve">Average paid customer lifetime</t>
  </si>
  <si>
    <t xml:space="preserve">months</t>
  </si>
  <si>
    <t xml:space="preserve">USAGE INTENSITY (drives cost)</t>
  </si>
  <si>
    <t xml:space="preserve">Scored recordings per free MAU per month</t>
  </si>
  <si>
    <t xml:space="preserve">sessions</t>
  </si>
  <si>
    <t xml:space="preserve">Free tier is metered at 5/week; assumes most free users do not hit the cap.</t>
  </si>
  <si>
    <t xml:space="preserve">Scored recordings per paid MAU per month</t>
  </si>
  <si>
    <t xml:space="preserve">Engaged learners practise most days.</t>
  </si>
  <si>
    <t xml:space="preserve">Companion/scenario turns per paid MAU per month</t>
  </si>
  <si>
    <t xml:space="preserve">turns</t>
  </si>
  <si>
    <t xml:space="preserve">Companion/scenario turns per free MAU per month</t>
  </si>
  <si>
    <t xml:space="preserve">Average utterance length</t>
  </si>
  <si>
    <t xml:space="preserve">seconds</t>
  </si>
  <si>
    <t xml:space="preserve">Sentence-level practice items.</t>
  </si>
  <si>
    <t xml:space="preserve">MARKET MIX (drives realised price)</t>
  </si>
  <si>
    <t xml:space="preserve">GCC share of user base</t>
  </si>
  <si>
    <t xml:space="preserve">GCC is PPP Tier 1 — full US pricing. This is where the revenue is.</t>
  </si>
  <si>
    <t xml:space="preserve">Egypt / Levant / Maghreb share</t>
  </si>
  <si>
    <t xml:space="preserve">PPP Tier 2-3. Far larger population, roughly half the price point.</t>
  </si>
  <si>
    <t xml:space="preserve">Mix check (must equal 100%)</t>
  </si>
  <si>
    <t xml:space="preserve">OPERATING COSTS</t>
  </si>
  <si>
    <t xml:space="preserve">Payment processing + store fee</t>
  </si>
  <si>
    <t xml:space="preserve">Apple/Google take 15% under the small-business programme; card rails are lower. Blended.</t>
  </si>
  <si>
    <t xml:space="preserve">Hosting + platform, monthly</t>
  </si>
  <si>
    <t xml:space="preserve">USD/mo</t>
  </si>
  <si>
    <t xml:space="preserve">Vercel Pro plus object storage.</t>
  </si>
  <si>
    <t xml:space="preserve">GPU inference node, monthly</t>
  </si>
  <si>
    <t xml:space="preserve">ESTIMATE — validate. One always-on L4-class instance at roughly $0.70/hr. Serverless GPU until utilisation justifies it.</t>
  </si>
  <si>
    <t xml:space="preserve">Blended CAC</t>
  </si>
  <si>
    <t xml:space="preserve">ESTIMATE — validate. Content/SEO/community led. Paid acquisition in MENA runs higher; this assumes organic dominates.</t>
  </si>
  <si>
    <t xml:space="preserve">Founder + contractor cost, monthly</t>
  </si>
  <si>
    <t xml:space="preserve">Zero while founder-led. Set this to a real salary before showing anyone a margin.</t>
  </si>
  <si>
    <t xml:space="preserve">Price: the floor, the ceiling, and what actually binds</t>
  </si>
  <si>
    <t xml:space="preserve">METHOD. A constant-elasticity demand curve is used to model volume response, but it is NOT used to pick the price — and saying why matters. With elasticity e &gt; 1, modelled revenue rises monotonically as price falls, so the curve has no interior optimum and would recommend a price of zero. Constant elasticity is only valid locally. The price is therefore set by two real constraints: an AFFORDABILITY CEILING (what the market will bear) and an ACQUISITION FLOOR (the price below which a subscriber never repays what it cost to acquire them). The recommendation sits between them — and this sheet's most important output is what happens when it cannot.</t>
  </si>
  <si>
    <t xml:space="preserve">COMPETITIVE PRICE BAND (verified, Sep 2026)</t>
  </si>
  <si>
    <t xml:space="preserve">Product</t>
  </si>
  <si>
    <t xml:space="preserve">Monthly</t>
  </si>
  <si>
    <t xml:space="preserve">Annual</t>
  </si>
  <si>
    <t xml:space="preserve">Effective $/mo</t>
  </si>
  <si>
    <t xml:space="preserve">Free tier</t>
  </si>
  <si>
    <t xml:space="preserve">Positioning</t>
  </si>
  <si>
    <t xml:space="preserve">Note</t>
  </si>
  <si>
    <t xml:space="preserve">Duolingo Super</t>
  </si>
  <si>
    <t xml:space="preserve">Yes</t>
  </si>
  <si>
    <t xml:space="preserve">Mass market, breadth</t>
  </si>
  <si>
    <t xml:space="preserve">Lite $35.99/yr. Family $143.99/yr. Not a speaking product.</t>
  </si>
  <si>
    <t xml:space="preserve">ELSA Speak Premium</t>
  </si>
  <si>
    <t xml:space="preserve">Speaking specialist</t>
  </si>
  <si>
    <t xml:space="preserve">The true comparable. Team tier $18.20/user/mo.</t>
  </si>
  <si>
    <t xml:space="preserve">Education category median</t>
  </si>
  <si>
    <t xml:space="preserve">—</t>
  </si>
  <si>
    <t xml:space="preserve">Benchmark</t>
  </si>
  <si>
    <t xml:space="preserve">RevenueCat State of Subscription Apps 2026, median monthly price.</t>
  </si>
  <si>
    <t xml:space="preserve">PPP TIERS — the counter-intuitive result</t>
  </si>
  <si>
    <t xml:space="preserve">Multipliers are World Bank PPP indices adjusted by observed app A/B results (pricepush.app, 2026). The GCC sits in Tier 1 and pays full US pricing. 'MENA' is not a discount market — Egypt and the Maghreb are, the Gulf is not. Pricing one number for the whole region leaves money on the table in Riyadh and prices Cairo out entirely.</t>
  </si>
  <si>
    <t xml:space="preserve">Market</t>
  </si>
  <si>
    <t xml:space="preserve">PPP tier</t>
  </si>
  <si>
    <t xml:space="preserve">Multiplier</t>
  </si>
  <si>
    <t xml:space="preserve">At anchor</t>
  </si>
  <si>
    <t xml:space="preserve">At recommended</t>
  </si>
  <si>
    <t xml:space="preserve">Share of base</t>
  </si>
  <si>
    <t xml:space="preserve">Saudi Arabia, UAE, Qatar, Kuwait</t>
  </si>
  <si>
    <t xml:space="preserve">Tier 1</t>
  </si>
  <si>
    <t xml:space="preserve">Full US pricing. Highest ARPU, smallest population.</t>
  </si>
  <si>
    <t xml:space="preserve">Jordan, Lebanon</t>
  </si>
  <si>
    <t xml:space="preserve">Tier 2</t>
  </si>
  <si>
    <t xml:space="preserve">Applied within the non-GCC share.</t>
  </si>
  <si>
    <t xml:space="preserve">Egypt, Morocco, Tunisia</t>
  </si>
  <si>
    <t xml:space="preserve">Tier 3</t>
  </si>
  <si>
    <t xml:space="preserve">Largest addressable population, half the price point.</t>
  </si>
  <si>
    <t xml:space="preserve">Blended multiplier</t>
  </si>
  <si>
    <t xml:space="preserve">Turns a headline price into realised ARPU. Referenced by all three business models.</t>
  </si>
  <si>
    <t xml:space="preserve">DEMAND AND ACQUISITION INPUTS</t>
  </si>
  <si>
    <t xml:space="preserve">Reference price (anchor)</t>
  </si>
  <si>
    <t xml:space="preserve">Education-category median.</t>
  </si>
  <si>
    <t xml:space="preserve">Conversion at reference price</t>
  </si>
  <si>
    <t xml:space="preserve">Blended MAU-to-paid from Assumptions.</t>
  </si>
  <si>
    <t xml:space="preserve">Price elasticity of demand (e)</t>
  </si>
  <si>
    <t xml:space="preserve">KEY. e&gt;1 = elastic. Only valid near the anchor — do not read the curve far from $9.99.</t>
  </si>
  <si>
    <t xml:space="preserve">Maximum plausible conversion</t>
  </si>
  <si>
    <t xml:space="preserve">Caps the curve. No consumer subscription app converts a quarter of its monthly actives.</t>
  </si>
  <si>
    <t xml:space="preserve">Affordability ceiling, GCC</t>
  </si>
  <si>
    <t xml:space="preserve">ESTIMATE — validate with Van Westendorp. Set below ELSA's $13.33 effective annual rate so Slang is the value choice.</t>
  </si>
  <si>
    <t xml:space="preserve">Target LTV / CAC</t>
  </si>
  <si>
    <t xml:space="preserve">x</t>
  </si>
  <si>
    <t xml:space="preserve">Standard venture threshold for a self-funding subscription business.</t>
  </si>
  <si>
    <t xml:space="preserve">PRICE RESPONSE — per monthly active user, per year</t>
  </si>
  <si>
    <t xml:space="preserve">Headline price $/mo</t>
  </si>
  <si>
    <t xml:space="preserve">Modelled conversion</t>
  </si>
  <si>
    <t xml:space="preserve">Realised ARPU per paid $/yr</t>
  </si>
  <si>
    <t xml:space="preserve">Contribution per MAU $/yr</t>
  </si>
  <si>
    <t xml:space="preserve">CAC per paid sub</t>
  </si>
  <si>
    <t xml:space="preserve">LTV / CAC</t>
  </si>
  <si>
    <t xml:space="preserve">Read</t>
  </si>
  <si>
    <t xml:space="preserve">WHAT BINDS</t>
  </si>
  <si>
    <t xml:space="preserve">Affordability ceiling (GCC)</t>
  </si>
  <si>
    <t xml:space="preserve">The most a GCC learner plausibly pays for this against ELSA at $13.33.</t>
  </si>
  <si>
    <t xml:space="preserve">Acquisition floor — lowest price where LTV/CAC &gt;= target</t>
  </si>
  <si>
    <t xml:space="preserve">Below this, a subscriber never repays what it cost to acquire them. If this reads 'none', no price on the grid clears the threshold.</t>
  </si>
  <si>
    <t xml:space="preserve">Is there a viable price band?</t>
  </si>
  <si>
    <t xml:space="preserve">This is the sheet's real output.</t>
  </si>
  <si>
    <t xml:space="preserve">RECOMMENDED HEADLINE PRICE (GCC)</t>
  </si>
  <si>
    <t xml:space="preserve">Set at the education-category median, capped by affordability. Deliberately at parity with the benchmark rather than below it: undercutting ELSA on price while claiming better measurement sends the wrong quality signal.</t>
  </si>
  <si>
    <t xml:space="preserve">Recommended price — Egypt / Levant (Tier 3)</t>
  </si>
  <si>
    <t xml:space="preserve">Same product, PPP-adjusted. Enforce by store region, never by self-declaration.</t>
  </si>
  <si>
    <t xml:space="preserve">Recommended annual price (GCC)</t>
  </si>
  <si>
    <t xml:space="preserve">USD/yr</t>
  </si>
  <si>
    <t xml:space="preserve">Annual is the retention instrument: it converts twelve monthly churn decisions into one.</t>
  </si>
  <si>
    <t xml:space="preserve">Implied LTV / CAC at the recommended price</t>
  </si>
  <si>
    <t xml:space="preserve">Maximum CAC that clears the target at that price</t>
  </si>
  <si>
    <t xml:space="preserve">USD per MAU acquired</t>
  </si>
  <si>
    <t xml:space="preserve">THE NUMBER THAT DECIDES MODEL A. Blended CAC must sit below this or the consumer model cannot fund its own growth.</t>
  </si>
  <si>
    <t xml:space="preserve">READ THIS BEFORE QUOTING A PRICE</t>
  </si>
  <si>
    <t xml:space="preserve">The pricing question is not the hard one.</t>
  </si>
  <si>
    <t xml:space="preserve">The band between the acquisition floor and the affordability ceiling is set almost entirely by conversion and CAC, not by price. Doubling the price roughly halves conversion; the ratio barely moves.</t>
  </si>
  <si>
    <t xml:space="preserve">The binding constraint is acquisition, not willingness to pay.</t>
  </si>
  <si>
    <t xml:space="preserve">At the base-case conversion, the maximum CAC that clears a 3x LTV/CAC is in cell B57 — compare it to the blended CAC on Assumptions. If the assumed CAC is above it, Model A only works on genuinely organic acquisition: community, content, referral, campus and employer partnerships. Any paid channel breaks it.</t>
  </si>
  <si>
    <t xml:space="preserve">This is why Model B exists.</t>
  </si>
  <si>
    <t xml:space="preserve">Institutional licensing converts an entire cohort on one sale, so acquisition cost per paying user collapses. It is not a bigger version of Model A; it is the answer to Model A's actual constraint.</t>
  </si>
  <si>
    <t xml:space="preserve">What to validate first.</t>
  </si>
  <si>
    <t xml:space="preserve">Conversion and CAC — in that order. Both are yellow. Neither is knowable from a spreadsheet, and the price follows from them rather than the other way round.</t>
  </si>
  <si>
    <t xml:space="preserve">Cost to serve — current vs target architecture</t>
  </si>
  <si>
    <t xml:space="preserve">The audit found inference costing $21-24 per MAU per year against blended ARPU of $7-9. This sheet shows why, and what ADR-0001 changes. The unit is one scored practice session.</t>
  </si>
  <si>
    <t xml:space="preserve">UNIT PRICES (verified, Sep 2026)</t>
  </si>
  <si>
    <t xml:space="preserve">Transcription — gpt-4o-transcribe</t>
  </si>
  <si>
    <t xml:space="preserve">USD/min</t>
  </si>
  <si>
    <t xml:space="preserve">OpenAI pricing page, Sep 2026.</t>
  </si>
  <si>
    <t xml:space="preserve">Transcription — gpt-4o-mini-transcribe</t>
  </si>
  <si>
    <t xml:space="preserve">Frontier LLM input</t>
  </si>
  <si>
    <t xml:space="preserve">USD/1M tok</t>
  </si>
  <si>
    <t xml:space="preserve">gpt-5.6-terra short context, OpenAI pricing page, Sep 2026.</t>
  </si>
  <si>
    <t xml:space="preserve">Frontier LLM output</t>
  </si>
  <si>
    <t xml:space="preserve">gpt-5.6-terra short context.</t>
  </si>
  <si>
    <t xml:space="preserve">Small LLM input</t>
  </si>
  <si>
    <t xml:space="preserve">gpt-5.6-luna short context.</t>
  </si>
  <si>
    <t xml:space="preserve">Small LLM output</t>
  </si>
  <si>
    <t xml:space="preserve">GPU node cost</t>
  </si>
  <si>
    <t xml:space="preserve">USD/hr</t>
  </si>
  <si>
    <t xml:space="preserve">ESTIMATE — validate. L4-class instance, on-demand.</t>
  </si>
  <si>
    <t xml:space="preserve">Utterances per GPU-hour (batched)</t>
  </si>
  <si>
    <t xml:space="preserve">utterances</t>
  </si>
  <si>
    <t xml:space="preserve">ESTIMATE — validate by benchmark. wav2vec2-base on a 5s clip is tens of ms on GPU; this derates heavily for I/O and idle.</t>
  </si>
  <si>
    <t xml:space="preserve">CURRENT ARCHITECTURE — cost per scored session</t>
  </si>
  <si>
    <t xml:space="preserve">Transcription</t>
  </si>
  <si>
    <t xml:space="preserve">Utterance length / 60 x per-minute rate.</t>
  </si>
  <si>
    <t xml:space="preserve">Assessment LLM — input tokens</t>
  </si>
  <si>
    <t xml:space="preserve">tokens</t>
  </si>
  <si>
    <t xml:space="preserve">Profile, reference text, transcript, system prompt.</t>
  </si>
  <si>
    <t xml:space="preserve">Assessment LLM — output tokens</t>
  </si>
  <si>
    <t xml:space="preserve">Scores, drills, guide, prioritised actions.</t>
  </si>
  <si>
    <t xml:space="preserve">Assessment LLM cost</t>
  </si>
  <si>
    <t xml:space="preserve">CURRENT — cost per session</t>
  </si>
  <si>
    <t xml:space="preserve">TARGET ARCHITECTURE (ADR-0001) — cost per scored session</t>
  </si>
  <si>
    <t xml:space="preserve">Acoustic scoring — self-hosted GOP</t>
  </si>
  <si>
    <t xml:space="preserve">GPU hourly rate / utterances per hour. Replaces both transcription and LLM assessment.</t>
  </si>
  <si>
    <t xml:space="preserve">Coaching text — input tokens</t>
  </si>
  <si>
    <t xml:space="preserve">Measurements in, not raw audio or long context.</t>
  </si>
  <si>
    <t xml:space="preserve">Coaching text — output tokens</t>
  </si>
  <si>
    <t xml:space="preserve">One or two sentences of feedback.</t>
  </si>
  <si>
    <t xml:space="preserve">Coaching text cost</t>
  </si>
  <si>
    <t xml:space="preserve">Routed to the small model.</t>
  </si>
  <si>
    <t xml:space="preserve">TARGET — cost per session</t>
  </si>
  <si>
    <t xml:space="preserve">Cost reduction</t>
  </si>
  <si>
    <t xml:space="preserve">COMPANION / SCENARIO TURN</t>
  </si>
  <si>
    <t xml:space="preserve">Turn — input tokens</t>
  </si>
  <si>
    <t xml:space="preserve">Conversation history plus scenario context.</t>
  </si>
  <si>
    <t xml:space="preserve">Turn — output tokens</t>
  </si>
  <si>
    <t xml:space="preserve">In-character reply plus scores plus feedback.</t>
  </si>
  <si>
    <t xml:space="preserve">Turn cost — frontier model</t>
  </si>
  <si>
    <t xml:space="preserve">Turn cost — small model</t>
  </si>
  <si>
    <t xml:space="preserve">Routing decision: use the small model below B2 level.</t>
  </si>
  <si>
    <t xml:space="preserve">ANNUAL COST PER USER</t>
  </si>
  <si>
    <t xml:space="preserve">Free MAU — current architecture</t>
  </si>
  <si>
    <t xml:space="preserve">Free MAU — target architecture</t>
  </si>
  <si>
    <t xml:space="preserve">Paid MAU — current architecture</t>
  </si>
  <si>
    <t xml:space="preserve">Paid MAU — target architecture</t>
  </si>
  <si>
    <t xml:space="preserve">Blended cost per MAU per year (target)</t>
  </si>
  <si>
    <t xml:space="preserve">Weighted by the conversion rate. This is the number that must sit below ARPU for the free tier to survive.</t>
  </si>
  <si>
    <t xml:space="preserve">Blended cost per MAU per year (current)</t>
  </si>
  <si>
    <t xml:space="preserve">The audit's $21-24 figure, rebuilt bottom-up from the same drivers.</t>
  </si>
  <si>
    <t xml:space="preserve">CORRECTION — the audited cost figure</t>
  </si>
  <si>
    <t xml:space="preserve">Audited portal's implied cost per MAU (2027)</t>
  </si>
  <si>
    <t xml:space="preserve">The audited business case listed $120,000 of API cost against 5,000 MAU. That is $24 per MAU per year.</t>
  </si>
  <si>
    <t xml:space="preserve">Audited portal's implied cost per MAU (2028)</t>
  </si>
  <si>
    <t xml:space="preserve">$540,000 against 25,000 MAU — $21.60 per MAU per year.</t>
  </si>
  <si>
    <t xml:space="preserve">This model's bottom-up figure, same architecture</t>
  </si>
  <si>
    <t xml:space="preserve">Built from published unit prices and explicit usage assumptions.</t>
  </si>
  <si>
    <t xml:space="preserve">Overstatement factor</t>
  </si>
  <si>
    <t xml:space="preserve">The audited cost line was overstated by roughly this much, in the same workbook where revenue was overstated 10-20x. The two errors partly cancelled, which is why nobody noticed either.</t>
  </si>
  <si>
    <t xml:space="preserve">What this changes</t>
  </si>
  <si>
    <t xml:space="preserve">The 12 Sep 2026 audit reported inference at $21-24 per MAU per year, taken from the audited model's own cost table. Rebuilt bottom-up from published unit prices, the real figure at the assumed usage is an order of magnitude lower. The audit's arithmetic finding on revenue stands unchanged; its cost figure was inherited from a table that was itself unfounded. The strategic conclusion survives in a sharper form: free-tier inference is not what breaks the consumer model — ACQUISITION COST is. See 'Price Elasticity' → What binds.</t>
  </si>
  <si>
    <t xml:space="preserve">Model A — Metered Freemium (consumer, GCC-first)</t>
  </si>
  <si>
    <t xml:space="preserve">Free tier metered at 5 scored recordings per week — enough to build a habit, not enough to be the product. Premium at the price the elasticity curve and the affordability ceiling agree on, PPP-adjusted by store region. This is the model the audit's cost finding was about: it only works because ADR-0001 takes blended cost per MAU below ARPU. Run it against the CURRENT architecture row to see why it did not work before.</t>
  </si>
  <si>
    <t xml:space="preserve">Line</t>
  </si>
  <si>
    <t xml:space="preserve">Year 1</t>
  </si>
  <si>
    <t xml:space="preserve">Year 2</t>
  </si>
  <si>
    <t xml:space="preserve">Year 3</t>
  </si>
  <si>
    <t xml:space="preserve">MAU (exit)</t>
  </si>
  <si>
    <t xml:space="preserve">Planning inputs on the Assumptions sheet.</t>
  </si>
  <si>
    <t xml:space="preserve">Average MAU over the year</t>
  </si>
  <si>
    <t xml:space="preserve">Costs accrue on average MAU, not exit MAU. The old model used exit and overstated nothing here but hid the shape.</t>
  </si>
  <si>
    <t xml:space="preserve">Paid subscribers (exit)</t>
  </si>
  <si>
    <t xml:space="preserve">MAU x blended conversion. THIS is the step the audited model skipped.</t>
  </si>
  <si>
    <t xml:space="preserve">Realised ARPU per paid sub, per year</t>
  </si>
  <si>
    <t xml:space="preserve">Headline price x 12, x blended PPP multiplier, less the annual-plan discount on the annual share, less store/payment fees.</t>
  </si>
  <si>
    <t xml:space="preserve">REVENUE</t>
  </si>
  <si>
    <t xml:space="preserve">COST</t>
  </si>
  <si>
    <t xml:space="preserve">Inference — target architecture</t>
  </si>
  <si>
    <t xml:space="preserve">Average MAU x blended cost per MAU. Paid on every active, converted or not.</t>
  </si>
  <si>
    <t xml:space="preserve">Inference — if built on the OLD architecture</t>
  </si>
  <si>
    <t xml:space="preserve">Shown for contrast. This row is why the audited model showed negative gross profit in every year.</t>
  </si>
  <si>
    <t xml:space="preserve">Hosting + GPU node</t>
  </si>
  <si>
    <t xml:space="preserve">Fixed infrastructure. The GPU node is what buys the cost reduction above.</t>
  </si>
  <si>
    <t xml:space="preserve">Acquisition</t>
  </si>
  <si>
    <t xml:space="preserve">CAC on net new MAU. Assumes organic dominates; paid acquisition in MENA runs well above this.</t>
  </si>
  <si>
    <t xml:space="preserve">People</t>
  </si>
  <si>
    <t xml:space="preserve">Zero while founder-led. Put a real number here before showing anyone a margin.</t>
  </si>
  <si>
    <t xml:space="preserve">TOTAL COST</t>
  </si>
  <si>
    <t xml:space="preserve">GROSS PROFIT (rev less inference)</t>
  </si>
  <si>
    <t xml:space="preserve">Gross margin</t>
  </si>
  <si>
    <t xml:space="preserve">EBITDA</t>
  </si>
  <si>
    <t xml:space="preserve">UNIT ECONOMICS</t>
  </si>
  <si>
    <t xml:space="preserve">LTV per paid sub</t>
  </si>
  <si>
    <t xml:space="preserve">Monthly realised ARPU x average lifetime from churn.</t>
  </si>
  <si>
    <t xml:space="preserve">Blended CAC grossed up by conversion — you pay to acquire the free users too.</t>
  </si>
  <si>
    <t xml:space="preserve">Below 3.0x this model does not fund its own growth.</t>
  </si>
  <si>
    <t xml:space="preserve">Contribution per MAU per year</t>
  </si>
  <si>
    <t xml:space="preserve">The single number that decides whether a free tier is an asset or a liability.</t>
  </si>
  <si>
    <t xml:space="preserve">Model B — Institutional licensing (B2B2C)</t>
  </si>
  <si>
    <t xml:space="preserve">Per-seat licensing to universities, employers and relocation programmes in the GCC. No free tier, so every served user is a paid user and the free-rider cost problem disappears by construction. The trade is a sales cycle measured in quarters and a product surface — admin, cohorts, reporting, SSO — that does not exist yet.</t>
  </si>
  <si>
    <t xml:space="preserve">Accounts closed (cumulative)</t>
  </si>
  <si>
    <t xml:space="preserve">ESTIMATE — validate. Founder-led sales. Assumes one pilot converts per quarter in Y1.</t>
  </si>
  <si>
    <t xml:space="preserve">Average seats per account</t>
  </si>
  <si>
    <t xml:space="preserve">ESTIMATE — validate. A university department or a mid-size employer cohort.</t>
  </si>
  <si>
    <t xml:space="preserve">Total seats</t>
  </si>
  <si>
    <t xml:space="preserve">Price per seat per year</t>
  </si>
  <si>
    <t xml:space="preserve">KEY LEVER. Below the $18.20/user/month ELSA charges its Team tier, because Slang sells depth in one language pair rather than breadth.</t>
  </si>
  <si>
    <t xml:space="preserve">Seat utilisation (active / licensed)</t>
  </si>
  <si>
    <t xml:space="preserve">Institutional seats are bought in bulk and used in part. Revenue is on seats; cost is on active users.</t>
  </si>
  <si>
    <t xml:space="preserve">Inference (active seats only)</t>
  </si>
  <si>
    <t xml:space="preserve">Paid-intensity cost, but only on the seats actually used. Under-utilisation is margin here, not waste.</t>
  </si>
  <si>
    <t xml:space="preserve">Sales + account management</t>
  </si>
  <si>
    <t xml:space="preserve">ESTIMATE — validate. Founder-led in Y1; one AE from Y2. This is the cost the consumer model does not carry.</t>
  </si>
  <si>
    <t xml:space="preserve">Admin / reporting product build</t>
  </si>
  <si>
    <t xml:space="preserve">ESTIMATE — validate. Contractor build of the admin surface: cohorts, seat management, SSO, exports.</t>
  </si>
  <si>
    <t xml:space="preserve">ACV per account</t>
  </si>
  <si>
    <t xml:space="preserve">Contribution per active seat</t>
  </si>
  <si>
    <t xml:space="preserve">Model C — Assessment-led (practice free, certification paid)</t>
  </si>
  <si>
    <t xml:space="preserve">Practice is free and metered. Revenue comes from assessment events: a structured placement and progress report priced per sitting. This is the model that aligns price with the thing the acoustic engine is uniquely good at, and the only one where the moat is what the customer is literally paying for. It is also the model with the weakest evidence — nobody has shown MENA consumers will pay per assessment for a non-accredited report.</t>
  </si>
  <si>
    <t xml:space="preserve">Average MAU</t>
  </si>
  <si>
    <t xml:space="preserve">Assessment attach rate</t>
  </si>
  <si>
    <t xml:space="preserve">KEY LEVER, and the weakest evidence in the workbook. Share of MAU who buy at least one assessment per year.</t>
  </si>
  <si>
    <t xml:space="preserve">Assessments per buyer per year</t>
  </si>
  <si>
    <t xml:space="preserve">ESTIMATE — validate. Placement plus progress re-tests.</t>
  </si>
  <si>
    <t xml:space="preserve">Price per assessment (GCC)</t>
  </si>
  <si>
    <t xml:space="preserve">KEY LEVER. Priced as an event, not a subscription. PPP-adjusted for Tier 3 markets.</t>
  </si>
  <si>
    <t xml:space="preserve">Inference — free practice on all MAU</t>
  </si>
  <si>
    <t xml:space="preserve">Every active user costs, whether or not they ever buy an assessment. Highest free-rider exposure of the three models.</t>
  </si>
  <si>
    <t xml:space="preserve">Rater panel / calibration upkeep</t>
  </si>
  <si>
    <t xml:space="preserve">ESTIMATE — validate. Human raters maintaining score validity. Non-negotiable if you sell a score.</t>
  </si>
  <si>
    <t xml:space="preserve">Model comparison and recommendation</t>
  </si>
  <si>
    <t xml:space="preserve">Metric</t>
  </si>
  <si>
    <t xml:space="preserve">A — Metered Freemium</t>
  </si>
  <si>
    <t xml:space="preserve">B — Institutional</t>
  </si>
  <si>
    <t xml:space="preserve">C — Assessment-led</t>
  </si>
  <si>
    <t xml:space="preserve">Year 3 revenue</t>
  </si>
  <si>
    <t xml:space="preserve">Absolute scale.</t>
  </si>
  <si>
    <t xml:space="preserve">Year 3 gross profit</t>
  </si>
  <si>
    <t xml:space="preserve">Revenue less inference.</t>
  </si>
  <si>
    <t xml:space="preserve">Year 3 gross margin</t>
  </si>
  <si>
    <t xml:space="preserve">B is structurally highest — no free riders.</t>
  </si>
  <si>
    <t xml:space="preserve">Year 3 EBITDA</t>
  </si>
  <si>
    <t xml:space="preserve">After all modelled cost.</t>
  </si>
  <si>
    <t xml:space="preserve">Year 1 EBITDA</t>
  </si>
  <si>
    <t xml:space="preserve">How deep the hole is before it turns.</t>
  </si>
  <si>
    <t xml:space="preserve">QUALITATIVE SCORING (1 = weak, 5 = strong)</t>
  </si>
  <si>
    <t xml:space="preserve">Criterion</t>
  </si>
  <si>
    <t xml:space="preserve">A</t>
  </si>
  <si>
    <t xml:space="preserve">B</t>
  </si>
  <si>
    <t xml:space="preserve">C</t>
  </si>
  <si>
    <t xml:space="preserve">Why</t>
  </si>
  <si>
    <t xml:space="preserve">Speed to first revenue</t>
  </si>
  <si>
    <t xml:space="preserve">A ships behind a paywall flag this month. B needs an admin product and a sales cycle.</t>
  </si>
  <si>
    <t xml:space="preserve">Defensibility of the moat</t>
  </si>
  <si>
    <t xml:space="preserve">C sells the acoustic engine directly. A sells a habit anyone can copy.</t>
  </si>
  <si>
    <t xml:space="preserve">Margin structure</t>
  </si>
  <si>
    <t xml:space="preserve">B pays inference only on licensed seats. A and C both carry free riders.</t>
  </si>
  <si>
    <t xml:space="preserve">Evidence it will work</t>
  </si>
  <si>
    <t xml:space="preserve">A is the proven consumer pattern. C has no MENA precedent for paid non-accredited assessment.</t>
  </si>
  <si>
    <t xml:space="preserve">Founder fit (solo, no sales team)</t>
  </si>
  <si>
    <t xml:space="preserve">B needs enterprise selling and procurement patience.</t>
  </si>
  <si>
    <t xml:space="preserve">Data flywheel strength</t>
  </si>
  <si>
    <t xml:space="preserve">B produces dense labelled cohorts — the fastest route to the confusion map.</t>
  </si>
  <si>
    <t xml:space="preserve">Capital required before revenue</t>
  </si>
  <si>
    <t xml:space="preserve">B needs the admin build funded up front.</t>
  </si>
  <si>
    <t xml:space="preserve">TOTAL</t>
  </si>
  <si>
    <t xml:space="preserve">RECOMMENDATION</t>
  </si>
  <si>
    <t xml:space="preserve">Sequence, not choose.</t>
  </si>
  <si>
    <t xml:space="preserve">A now, B from month 9, C only once calibration data exists. These are not three alternatives; they are three phases with different evidence requirements.</t>
  </si>
  <si>
    <t xml:space="preserve">Phase 1 — Model A (months 0-9).</t>
  </si>
  <si>
    <t xml:space="preserve">Metered freemium at the recommended GCC price. It is the only model you can ship alone this quarter, and it is what generates the labelled recordings everything else depends on. Success test: contribution per MAU positive, and 200+ consented recordings in the corpus.</t>
  </si>
  <si>
    <t xml:space="preserve">Phase 2 — Model B (months 9-24).</t>
  </si>
  <si>
    <t xml:space="preserve">Institutional licensing is where the margin is, and GCC universities and employers are a reachable, concentrated buyer set. Do not start it before Phase 1 proves the pedagogy works, because the first enterprise reference is worth more than the first ten.</t>
  </si>
  <si>
    <t xml:space="preserve">Phase 3 — Model C (month 18+).</t>
  </si>
  <si>
    <t xml:space="preserve">Only after ADR-0002 calibration produces a defensible correlation against human raters. Selling a score you have not validated is the finding that ended the last version of this business case.</t>
  </si>
  <si>
    <t xml:space="preserve">The kill criterion.</t>
  </si>
  <si>
    <t xml:space="preserve">If, after 1,000 MAU, contribution per MAU is still negative under the target architecture, the consumer model does not work at MENA price points and B becomes the primary, not the sequel. Check this quarterly against the Model A contribution row.</t>
  </si>
  <si>
    <t xml:space="preserve">What decides it.</t>
  </si>
  <si>
    <t xml:space="preserve">Not the revenue column. The three models differ far more in evidence risk than in modelled revenue, and every revenue number here rests on a yellow cell. Treat the ranking as a sequencing argument, not a forecast.</t>
  </si>
  <si>
    <t xml:space="preserve">RECONCILIATION — the scorecard and the P&amp;L disagree. The P&amp;L wins.</t>
  </si>
  <si>
    <t xml:space="preserve">The qualitative scorecard above ranks A highest (29 vs 24 vs 23) on speed, founder fit and capital need. The modelled P&amp;L says A is the only one of the three that never reaches profitability, and B is the only one that does. Both are correct, and the contradiction is the finding: A scores well on everything except the one thing that decides it. At the assumed blended CAC of $12, Model A spends $410 to acquire a subscriber worth $87 — LTV/CAC of 0.21x. No price on the grid fixes that, because raising price costs more conversion than it gains in rate. Model A is a DISTRIBUTION problem wearing a pricing problem's clothes.</t>
  </si>
  <si>
    <t xml:space="preserve">MODEL A UNDER ORGANIC ACQUISITION</t>
  </si>
  <si>
    <t xml:space="preserve">At assumed CAC ($12)</t>
  </si>
  <si>
    <t xml:space="preserve">At max allowable CAC</t>
  </si>
  <si>
    <t xml:space="preserve">Delta</t>
  </si>
  <si>
    <t xml:space="preserve">Max CAC that clears 3x LTV/CAC</t>
  </si>
  <si>
    <t xml:space="preserve">From 'Price Elasticity' → What binds. The ceiling on blended acquisition cost.</t>
  </si>
  <si>
    <t xml:space="preserve">Year 3 acquisition spend</t>
  </si>
  <si>
    <t xml:space="preserve">Same 40,000 net-new users, two different costs per user.</t>
  </si>
  <si>
    <t xml:space="preserve">The whole consumer thesis turns on this line. Organic acquisition flips Model A profitable; any paid channel does not.</t>
  </si>
  <si>
    <t xml:space="preserve">THE DECISION</t>
  </si>
  <si>
    <t xml:space="preserve">Model B is the commercial engine.</t>
  </si>
  <si>
    <t xml:space="preserve">It is the only model that reaches positive EBITDA inside three years at these assumptions, and it does so in Year 2. Institutional selling converts an entire cohort on a single sale, which is precisely the constraint that defeats Model A. Build the admin surface.</t>
  </si>
  <si>
    <t xml:space="preserve">Model A is the wedge — with a hard rule attached.</t>
  </si>
  <si>
    <t xml:space="preserve">Ship it, price it at the education median, and give it a ZERO paid-acquisition budget. Community, campus societies, employer HR channels, content and referral only. The moment a paid channel is switched on, the model stops working and the spreadsheet says so.</t>
  </si>
  <si>
    <t xml:space="preserve">Model C waits for evidence.</t>
  </si>
  <si>
    <t xml:space="preserve">Selling an assessment score before ADR-0002 calibration exists is the same class of error the 12 Sep audit found: a number presented as measurement without a validation study behind it. Revisit at month 18.</t>
  </si>
  <si>
    <t xml:space="preserve">The number to watch monthly.</t>
  </si>
  <si>
    <t xml:space="preserve">Blended CAC against the max allowable on 'Price Elasticity' B57. It is the single kill criterion for the consumer model, and it is checkable from day one.</t>
  </si>
  <si>
    <t xml:space="preserve">What would change this.</t>
  </si>
  <si>
    <t xml:space="preserve">A conversion rate materially above 2.9%, or a CAC materially below $1. Both are yellow cells. Validate conversion first: it moves the answer more than price does, and it is cheaper to measure.</t>
  </si>
  <si>
    <t xml:space="preserve">Sensitivity — what breaks Model A, and at what value</t>
  </si>
  <si>
    <t xml:space="preserve">Each row moves one driver and leaves everything else alone. The point is not the numbers; it is which drivers the answer is actually sensitive to, so you know which yellow cells to go and validate first.</t>
  </si>
  <si>
    <t xml:space="preserve">Downside</t>
  </si>
  <si>
    <t xml:space="preserve">Base</t>
  </si>
  <si>
    <t xml:space="preserve">Upside</t>
  </si>
  <si>
    <t xml:space="preserve">Price elasticity (e)</t>
  </si>
  <si>
    <t xml:space="preserve">Monthly churn</t>
  </si>
  <si>
    <t xml:space="preserve">GCC share of base</t>
  </si>
  <si>
    <t xml:space="preserve">Utterances per GPU-hour</t>
  </si>
  <si>
    <t xml:space="preserve">Free-user sessions per month</t>
  </si>
  <si>
    <t xml:space="preserve">HOW TO USE THIS</t>
  </si>
  <si>
    <t xml:space="preserve">1. Copy the workbook. In the copy, paste one downside value into the driver's home cell on Assumptions or Price Elasticity.</t>
  </si>
  <si>
    <t xml:space="preserve">2. Read 'Model A Metered Freemium' → Contribution per MAU per year, and → EBITDA Year 3.</t>
  </si>
  <si>
    <t xml:space="preserve">3. Record which single driver flips contribution negative on its own. That driver is your first validation spend.</t>
  </si>
  <si>
    <t xml:space="preserve">4. Repeat for the upside column to see which driver is worth optimising rather than merely defending.</t>
  </si>
  <si>
    <t xml:space="preserve">Expected result before you run it: elasticity and free-user session volume dominate, because both act on every</t>
  </si>
  <si>
    <t xml:space="preserve">monthly active rather than only on the converted minority. Conversion and CAC matter less than they feel like they should.</t>
  </si>
  <si>
    <t xml:space="preserve">If your run disagrees with that, the model has a bug — investigate before you trust the output.</t>
  </si>
  <si>
    <t xml:space="preserve">Sources — every external number in this workbook</t>
  </si>
  <si>
    <t xml:space="preserve">A number that is not in this table is an ESTIMATE and is marked yellow in the model. That distinction is the whole point: the audited version of this business case failed because estimates and facts were rendered identically.</t>
  </si>
  <si>
    <t xml:space="preserve">Figure</t>
  </si>
  <si>
    <t xml:space="preserve">Where used</t>
  </si>
  <si>
    <t xml:space="preserve">Source</t>
  </si>
  <si>
    <t xml:space="preserve">Digital English learning market, 2026</t>
  </si>
  <si>
    <t xml:space="preserve">$15.98bn → $31.62bn by 2031, 14.62% CAGR</t>
  </si>
  <si>
    <t xml:space="preserve">Assumptions B5</t>
  </si>
  <si>
    <t xml:space="preserve">Mordor Intelligence — Digital English Language Learning Market</t>
  </si>
  <si>
    <t xml:space="preserve">Middle East e-learning market</t>
  </si>
  <si>
    <t xml:space="preserve">$16.17bn (2025) → $28.28bn (2034), 6.41% CAGR</t>
  </si>
  <si>
    <t xml:space="preserve">Assumptions B6</t>
  </si>
  <si>
    <t xml:space="preserve">IMARC Group — Middle East E-Learning Market</t>
  </si>
  <si>
    <t xml:space="preserve">Duolingo Super pricing</t>
  </si>
  <si>
    <t xml:space="preserve">$16.99/mo · $119.99/yr · Lite $35.99/yr · Family $143.99/yr</t>
  </si>
  <si>
    <t xml:space="preserve">Price Elasticity row 8</t>
  </si>
  <si>
    <t xml:space="preserve">languageappguide.com, Sep 2026</t>
  </si>
  <si>
    <t xml:space="preserve">ELSA Speak pricing</t>
  </si>
  <si>
    <t xml:space="preserve">$21.99/mo · $159.99/yr ($13.33/mo effective) · Team $18.20/user/mo · free tier exists</t>
  </si>
  <si>
    <t xml:space="preserve">Price Elasticity row 9</t>
  </si>
  <si>
    <t xml:space="preserve">softwarefinder.com/lms/elsa-speak/pricing, 2026</t>
  </si>
  <si>
    <t xml:space="preserve">Education category median price</t>
  </si>
  <si>
    <t xml:space="preserve">$9.99/month</t>
  </si>
  <si>
    <t xml:space="preserve">Price Elasticity row 10 (anchor)</t>
  </si>
  <si>
    <t xml:space="preserve">RevenueCat — State of Subscription Apps 2026, Education</t>
  </si>
  <si>
    <t xml:space="preserve">Education D30 download-to-trial</t>
  </si>
  <si>
    <t xml:space="preserve">6.5% median</t>
  </si>
  <si>
    <t xml:space="preserve">Assumptions B18</t>
  </si>
  <si>
    <t xml:space="preserve">Education annual-plan preference</t>
  </si>
  <si>
    <t xml:space="preserve">59-66% of categories favouring annual</t>
  </si>
  <si>
    <t xml:space="preserve">Assumptions B21</t>
  </si>
  <si>
    <t xml:space="preserve">RevenueCat — State of Subscription Apps 2026</t>
  </si>
  <si>
    <t xml:space="preserve">PPP price tiers</t>
  </si>
  <si>
    <t xml:space="preserve">GCC 1.00 · Jordan 0.70 · Egypt/Morocco 0.50 · India 0.35</t>
  </si>
  <si>
    <t xml:space="preserve">Price Elasticity rows 15-17</t>
  </si>
  <si>
    <t xml:space="preserve">pricepush.app — App Price Localization Cheat Sheet (World Bank PPP + A/B overlay)</t>
  </si>
  <si>
    <t xml:space="preserve">Transcription unit price</t>
  </si>
  <si>
    <t xml:space="preserve">gpt-4o-transcribe $0.006/min · gpt-4o-mini-transcribe $0.003/min</t>
  </si>
  <si>
    <t xml:space="preserve">Cost to Serve B6, B7</t>
  </si>
  <si>
    <t xml:space="preserve">OpenAI pricing page, Sep 2026</t>
  </si>
  <si>
    <t xml:space="preserve">Frontier LLM unit price</t>
  </si>
  <si>
    <t xml:space="preserve">gpt-5.6-terra $2.00 in / $12.00 out per 1M tokens</t>
  </si>
  <si>
    <t xml:space="preserve">Cost to Serve B8, B9</t>
  </si>
  <si>
    <t xml:space="preserve">Small LLM unit price</t>
  </si>
  <si>
    <t xml:space="preserve">gpt-5.6-luna $0.20 in / $1.20 out per 1M tokens</t>
  </si>
  <si>
    <t xml:space="preserve">Cost to Serve B10, B11</t>
  </si>
  <si>
    <t xml:space="preserve">Arabic-L1 error inventory</t>
  </si>
  <si>
    <t xml:space="preserve">/v/→/f/ 100% · /ʒ/ 84.2% · /ŋ/ 80.8% · /p/→/b/ 63.3% · overall 11.14%</t>
  </si>
  <si>
    <t xml:space="preserve">Corpus + ADR-0001</t>
  </si>
  <si>
    <t xml:space="preserve">Rehman et al. 2022 (Language Teaching Research); Aldaghri 2019 (AWEJ 10:4)</t>
  </si>
  <si>
    <t xml:space="preserve">GOP state of the art</t>
  </si>
  <si>
    <t xml:space="preserve">Alignment-free substitution-aware GOP: 0.595 MCC vs 0.242 forced-alignment baseline</t>
  </si>
  <si>
    <t xml:space="preserve">ADR-0001</t>
  </si>
  <si>
    <t xml:space="preserve">Parikh et al., Interspeech 2025</t>
  </si>
  <si>
    <t xml:space="preserve">Benchmark corpus gap</t>
  </si>
  <si>
    <t xml:space="preserve">speechocean762 = 5,000 utterances, 250 Mandarin-L1 speakers. No Arabic-L1 equivalent exists.</t>
  </si>
  <si>
    <t xml:space="preserve">Moat thesis</t>
  </si>
  <si>
    <t xml:space="preserve">Zhang et al., Interspeech 2021; openslr.org/101</t>
  </si>
</sst>
</file>

<file path=xl/styles.xml><?xml version="1.0" encoding="utf-8"?>
<styleSheet xmlns="http://schemas.openxmlformats.org/spreadsheetml/2006/main">
  <numFmts count="11">
    <numFmt numFmtId="164" formatCode="General"/>
    <numFmt numFmtId="165" formatCode="\$#,##0;&quot;($&quot;#,##0\);\-"/>
    <numFmt numFmtId="166" formatCode="0.0%"/>
    <numFmt numFmtId="167" formatCode="0.00%"/>
    <numFmt numFmtId="168" formatCode="#,##0"/>
    <numFmt numFmtId="169" formatCode="0.0"/>
    <numFmt numFmtId="170" formatCode="\$#,##0.00;&quot;($&quot;#,##0.00\);\-"/>
    <numFmt numFmtId="171" formatCode="0.00"/>
    <numFmt numFmtId="172" formatCode="0.0\x"/>
    <numFmt numFmtId="173" formatCode="\$#,##0.0000;&quot;($&quot;#,##0.0000\);\-"/>
    <numFmt numFmtId="17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0F3D33"/>
      <name val="Arial"/>
      <family val="0"/>
      <charset val="1"/>
    </font>
    <font>
      <b val="true"/>
      <sz val="10"/>
      <name val="Arial"/>
      <family val="0"/>
      <charset val="1"/>
    </font>
    <font>
      <sz val="10"/>
      <name val="Arial"/>
      <family val="0"/>
      <charset val="1"/>
    </font>
    <font>
      <b val="true"/>
      <sz val="10"/>
      <color rgb="FFFFFFFF"/>
      <name val="Arial"/>
      <family val="0"/>
      <charset val="1"/>
    </font>
    <font>
      <b val="true"/>
      <sz val="11"/>
      <color rgb="FF0F3D33"/>
      <name val="Arial"/>
      <family val="0"/>
      <charset val="1"/>
    </font>
    <font>
      <sz val="10"/>
      <color rgb="FF0000FF"/>
      <name val="Arial"/>
      <family val="0"/>
      <charset val="1"/>
    </font>
    <font>
      <i val="true"/>
      <sz val="9"/>
      <color rgb="FF666666"/>
      <name val="Arial"/>
      <family val="0"/>
      <charset val="1"/>
    </font>
    <font>
      <sz val="10"/>
      <color rgb="FF008000"/>
      <name val="Arial"/>
      <family val="0"/>
      <charset val="1"/>
    </font>
  </fonts>
  <fills count="7">
    <fill>
      <patternFill patternType="none"/>
    </fill>
    <fill>
      <patternFill patternType="gray125"/>
    </fill>
    <fill>
      <patternFill patternType="solid">
        <fgColor rgb="FF0F3D33"/>
        <bgColor rgb="FF003300"/>
      </patternFill>
    </fill>
    <fill>
      <patternFill patternType="solid">
        <fgColor rgb="FFE4EDEA"/>
        <bgColor rgb="FFDDEBE2"/>
      </patternFill>
    </fill>
    <fill>
      <patternFill patternType="solid">
        <fgColor rgb="FFFFFF99"/>
        <bgColor rgb="FFFBE4DC"/>
      </patternFill>
    </fill>
    <fill>
      <patternFill patternType="solid">
        <fgColor rgb="FFDDEBE2"/>
        <bgColor rgb="FFE4EDEA"/>
      </patternFill>
    </fill>
    <fill>
      <patternFill patternType="solid">
        <fgColor rgb="FFFBE4DC"/>
        <bgColor rgb="FFE4EDEA"/>
      </patternFill>
    </fill>
  </fills>
  <borders count="2">
    <border diagonalUp="false" diagonalDown="false">
      <left/>
      <right/>
      <top/>
      <bottom/>
      <diagonal/>
    </border>
    <border diagonalUp="false" diagonalDown="false">
      <left style="thin">
        <color rgb="FFC9D2CE"/>
      </left>
      <right style="thin">
        <color rgb="FFC9D2CE"/>
      </right>
      <top style="thin">
        <color rgb="FFC9D2CE"/>
      </top>
      <bottom style="thin">
        <color rgb="FFC9D2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9"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7" fontId="9" fillId="4" borderId="0" xfId="0" applyFont="true" applyBorder="false" applyAlignment="true" applyProtection="false">
      <alignment horizontal="general" vertical="bottom" textRotation="0" wrapText="false" indent="0" shrinkToFit="false"/>
      <protection locked="true" hidden="false"/>
    </xf>
    <xf numFmtId="168" fontId="9" fillId="4"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5" fontId="9" fillId="4" borderId="0" xfId="0" applyFont="true" applyBorder="false" applyAlignment="true" applyProtection="false">
      <alignment horizontal="general" vertical="bottom" textRotation="0" wrapText="false" indent="0" shrinkToFit="false"/>
      <protection locked="true" hidden="false"/>
    </xf>
    <xf numFmtId="170" fontId="9" fillId="4"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71" fontId="6" fillId="5"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71" fontId="9" fillId="4" borderId="0" xfId="0" applyFont="true" applyBorder="false" applyAlignment="true" applyProtection="false">
      <alignment horizontal="general" vertical="bottom" textRotation="0" wrapText="false" indent="0" shrinkToFit="false"/>
      <protection locked="true" hidden="false"/>
    </xf>
    <xf numFmtId="172" fontId="9" fillId="4"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70" fontId="6" fillId="5" borderId="0" xfId="0" applyFont="true" applyBorder="false" applyAlignment="true" applyProtection="false">
      <alignment horizontal="general" vertical="bottom" textRotation="0" wrapText="false" indent="0" shrinkToFit="false"/>
      <protection locked="true" hidden="false"/>
    </xf>
    <xf numFmtId="172" fontId="6" fillId="6" borderId="0" xfId="0" applyFont="true" applyBorder="false" applyAlignment="true" applyProtection="false">
      <alignment horizontal="general" vertical="bottom" textRotation="0" wrapText="false" indent="0" shrinkToFit="false"/>
      <protection locked="true" hidden="false"/>
    </xf>
    <xf numFmtId="170" fontId="6" fillId="6"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73" fontId="9" fillId="0" borderId="0" xfId="0" applyFont="true" applyBorder="false" applyAlignment="true" applyProtection="false">
      <alignment horizontal="general" vertical="bottom" textRotation="0" wrapText="false" indent="0" shrinkToFit="false"/>
      <protection locked="true" hidden="false"/>
    </xf>
    <xf numFmtId="173" fontId="6"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73" fontId="6" fillId="6" borderId="0" xfId="0" applyFont="true" applyBorder="false" applyAlignment="true" applyProtection="false">
      <alignment horizontal="general" vertical="bottom" textRotation="0" wrapText="false" indent="0" shrinkToFit="false"/>
      <protection locked="true" hidden="false"/>
    </xf>
    <xf numFmtId="173" fontId="6" fillId="5"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5" fontId="6" fillId="5" borderId="0" xfId="0" applyFont="true" applyBorder="false" applyAlignment="true" applyProtection="false">
      <alignment horizontal="general" vertical="bottom" textRotation="0" wrapText="false" indent="0" shrinkToFit="false"/>
      <protection locked="true" hidden="false"/>
    </xf>
    <xf numFmtId="165" fontId="6" fillId="6" borderId="0" xfId="0" applyFont="true" applyBorder="false" applyAlignment="true" applyProtection="false">
      <alignment horizontal="general" vertical="bottom" textRotation="0" wrapText="false" indent="0" shrinkToFit="false"/>
      <protection locked="true" hidden="false"/>
    </xf>
    <xf numFmtId="172" fontId="6" fillId="5"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74" fontId="6" fillId="5"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D2CE"/>
      <rgbColor rgb="FF808080"/>
      <rgbColor rgb="FF9999FF"/>
      <rgbColor rgb="FF993366"/>
      <rgbColor rgb="FFFBE4DC"/>
      <rgbColor rgb="FFE4ED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BE2"/>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F3D33"/>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08"/>
  </cols>
  <sheetData>
    <row r="1" customFormat="false" ht="17.25" hidden="false" customHeight="true" outlineLevel="0" collapsed="false">
      <c r="A1" s="2" t="s">
        <v>0</v>
      </c>
      <c r="B1" s="2"/>
    </row>
    <row r="3" customFormat="false" ht="39" hidden="false" customHeight="true" outlineLevel="0" collapsed="false">
      <c r="A3" s="3" t="s">
        <v>1</v>
      </c>
      <c r="B3" s="4" t="s">
        <v>2</v>
      </c>
    </row>
    <row r="4" customFormat="false" ht="39" hidden="false" customHeight="true" outlineLevel="0" collapsed="false">
      <c r="A4" s="3" t="s">
        <v>3</v>
      </c>
      <c r="B4" s="4" t="s">
        <v>4</v>
      </c>
    </row>
    <row r="5" customFormat="false" ht="39" hidden="false" customHeight="true" outlineLevel="0" collapsed="false">
      <c r="A5" s="3" t="s">
        <v>5</v>
      </c>
      <c r="B5" s="4" t="s">
        <v>6</v>
      </c>
    </row>
    <row r="6" customFormat="false" ht="15" hidden="false" customHeight="true" outlineLevel="0" collapsed="false">
      <c r="A6" s="5"/>
      <c r="B6" s="4"/>
    </row>
    <row r="7" customFormat="false" ht="15" hidden="false" customHeight="true" outlineLevel="0" collapsed="false">
      <c r="A7" s="3" t="s">
        <v>7</v>
      </c>
      <c r="B7" s="4"/>
    </row>
    <row r="8" customFormat="false" ht="15" hidden="false" customHeight="true" outlineLevel="0" collapsed="false">
      <c r="A8" s="3" t="s">
        <v>8</v>
      </c>
      <c r="B8" s="4" t="s">
        <v>9</v>
      </c>
    </row>
    <row r="9" customFormat="false" ht="15" hidden="false" customHeight="true" outlineLevel="0" collapsed="false">
      <c r="A9" s="3" t="s">
        <v>10</v>
      </c>
      <c r="B9" s="4" t="s">
        <v>11</v>
      </c>
    </row>
    <row r="10" customFormat="false" ht="15" hidden="false" customHeight="true" outlineLevel="0" collapsed="false">
      <c r="A10" s="3" t="s">
        <v>12</v>
      </c>
      <c r="B10" s="4" t="s">
        <v>13</v>
      </c>
    </row>
    <row r="11" customFormat="false" ht="25.5" hidden="false" customHeight="true" outlineLevel="0" collapsed="false">
      <c r="A11" s="3" t="s">
        <v>14</v>
      </c>
      <c r="B11" s="4" t="s">
        <v>15</v>
      </c>
    </row>
    <row r="12" customFormat="false" ht="15" hidden="false" customHeight="true" outlineLevel="0" collapsed="false">
      <c r="A12" s="5"/>
      <c r="B12" s="4"/>
    </row>
    <row r="13" customFormat="false" ht="15" hidden="false" customHeight="true" outlineLevel="0" collapsed="false">
      <c r="A13" s="3" t="s">
        <v>16</v>
      </c>
      <c r="B13" s="4"/>
    </row>
    <row r="14" customFormat="false" ht="15" hidden="false" customHeight="true" outlineLevel="0" collapsed="false">
      <c r="A14" s="3" t="s">
        <v>17</v>
      </c>
      <c r="B14" s="4" t="s">
        <v>18</v>
      </c>
    </row>
    <row r="15" customFormat="false" ht="25.5" hidden="false" customHeight="true" outlineLevel="0" collapsed="false">
      <c r="A15" s="3" t="s">
        <v>19</v>
      </c>
      <c r="B15" s="4" t="s">
        <v>20</v>
      </c>
    </row>
    <row r="16" customFormat="false" ht="15" hidden="false" customHeight="true" outlineLevel="0" collapsed="false">
      <c r="A16" s="3" t="s">
        <v>21</v>
      </c>
      <c r="B16" s="4" t="s">
        <v>22</v>
      </c>
    </row>
    <row r="17" customFormat="false" ht="15" hidden="false" customHeight="true" outlineLevel="0" collapsed="false">
      <c r="A17" s="3" t="s">
        <v>23</v>
      </c>
      <c r="B17" s="4" t="s">
        <v>24</v>
      </c>
    </row>
    <row r="18" customFormat="false" ht="15" hidden="false" customHeight="true" outlineLevel="0" collapsed="false">
      <c r="A18" s="3" t="s">
        <v>25</v>
      </c>
      <c r="B18" s="4" t="s">
        <v>26</v>
      </c>
    </row>
    <row r="19" customFormat="false" ht="15" hidden="false" customHeight="true" outlineLevel="0" collapsed="false">
      <c r="A19" s="3" t="s">
        <v>27</v>
      </c>
      <c r="B19" s="4" t="s">
        <v>28</v>
      </c>
    </row>
    <row r="20" customFormat="false" ht="25.5" hidden="false" customHeight="true" outlineLevel="0" collapsed="false">
      <c r="A20" s="3" t="s">
        <v>29</v>
      </c>
      <c r="B20" s="4" t="s">
        <v>30</v>
      </c>
    </row>
    <row r="21" customFormat="false" ht="15" hidden="false" customHeight="true" outlineLevel="0" collapsed="false">
      <c r="A21" s="5"/>
      <c r="B21" s="4"/>
    </row>
    <row r="22" customFormat="false" ht="39" hidden="false" customHeight="true" outlineLevel="0" collapsed="false">
      <c r="A22" s="3" t="s">
        <v>31</v>
      </c>
      <c r="B22" s="4" t="s">
        <v>32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4"/>
    <col collapsed="false" customWidth="true" hidden="false" outlineLevel="0" max="4" min="4" style="1" width="78"/>
  </cols>
  <sheetData>
    <row r="1" customFormat="false" ht="17.25" hidden="false" customHeight="true" outlineLevel="0" collapsed="false">
      <c r="A1" s="2" t="s">
        <v>33</v>
      </c>
      <c r="B1" s="2"/>
      <c r="C1" s="2"/>
      <c r="D1" s="2"/>
    </row>
    <row r="3" customFormat="false" ht="27.75" hidden="false" customHeight="true" outlineLevel="0" collapsed="false">
      <c r="A3" s="6" t="s">
        <v>34</v>
      </c>
      <c r="B3" s="6" t="s">
        <v>35</v>
      </c>
      <c r="C3" s="6" t="s">
        <v>36</v>
      </c>
      <c r="D3" s="6" t="s">
        <v>37</v>
      </c>
    </row>
    <row r="4" customFormat="false" ht="15" hidden="false" customHeight="true" outlineLevel="0" collapsed="false">
      <c r="A4" s="7" t="s">
        <v>38</v>
      </c>
      <c r="B4" s="7"/>
      <c r="C4" s="7"/>
      <c r="D4" s="7"/>
    </row>
    <row r="5" customFormat="false" ht="15" hidden="false" customHeight="true" outlineLevel="0" collapsed="false">
      <c r="A5" s="5" t="s">
        <v>39</v>
      </c>
      <c r="B5" s="8" t="n">
        <v>15980000000</v>
      </c>
      <c r="C5" s="9" t="s">
        <v>40</v>
      </c>
      <c r="D5" s="9" t="s">
        <v>41</v>
      </c>
    </row>
    <row r="6" customFormat="false" ht="15" hidden="false" customHeight="true" outlineLevel="0" collapsed="false">
      <c r="A6" s="5" t="s">
        <v>42</v>
      </c>
      <c r="B6" s="8" t="n">
        <v>16169000000</v>
      </c>
      <c r="C6" s="9" t="s">
        <v>40</v>
      </c>
      <c r="D6" s="9" t="s">
        <v>43</v>
      </c>
    </row>
    <row r="7" customFormat="false" ht="15" hidden="false" customHeight="true" outlineLevel="0" collapsed="false">
      <c r="A7" s="5" t="s">
        <v>44</v>
      </c>
      <c r="B7" s="10" t="n">
        <v>0.04</v>
      </c>
      <c r="C7" s="9" t="s">
        <v>45</v>
      </c>
      <c r="D7" s="9" t="s">
        <v>46</v>
      </c>
    </row>
    <row r="8" customFormat="false" ht="15" hidden="false" customHeight="true" outlineLevel="0" collapsed="false">
      <c r="A8" s="5" t="s">
        <v>47</v>
      </c>
      <c r="B8" s="11" t="n">
        <f aca="false">B5*B7</f>
        <v>639200000</v>
      </c>
      <c r="C8" s="9" t="s">
        <v>40</v>
      </c>
      <c r="D8" s="9" t="s">
        <v>48</v>
      </c>
    </row>
    <row r="9" customFormat="false" ht="15" hidden="false" customHeight="true" outlineLevel="0" collapsed="false">
      <c r="A9" s="5" t="s">
        <v>49</v>
      </c>
      <c r="B9" s="10" t="n">
        <v>0.18</v>
      </c>
      <c r="C9" s="9" t="s">
        <v>45</v>
      </c>
      <c r="D9" s="9" t="s">
        <v>50</v>
      </c>
    </row>
    <row r="10" customFormat="false" ht="15" hidden="false" customHeight="true" outlineLevel="0" collapsed="false">
      <c r="A10" s="5" t="s">
        <v>51</v>
      </c>
      <c r="B10" s="11" t="n">
        <f aca="false">B8*B9</f>
        <v>115056000</v>
      </c>
      <c r="C10" s="9" t="s">
        <v>40</v>
      </c>
      <c r="D10" s="9"/>
    </row>
    <row r="11" customFormat="false" ht="15" hidden="false" customHeight="true" outlineLevel="0" collapsed="false">
      <c r="A11" s="5" t="s">
        <v>52</v>
      </c>
      <c r="B11" s="12" t="n">
        <v>0.005</v>
      </c>
      <c r="C11" s="9" t="s">
        <v>45</v>
      </c>
      <c r="D11" s="9" t="s">
        <v>53</v>
      </c>
    </row>
    <row r="12" customFormat="false" ht="15" hidden="false" customHeight="true" outlineLevel="0" collapsed="false">
      <c r="A12" s="5" t="s">
        <v>54</v>
      </c>
      <c r="B12" s="11" t="n">
        <f aca="false">B10*B11</f>
        <v>575280</v>
      </c>
      <c r="C12" s="9" t="s">
        <v>40</v>
      </c>
      <c r="D12" s="9"/>
    </row>
    <row r="14" customFormat="false" ht="15" hidden="false" customHeight="true" outlineLevel="0" collapsed="false">
      <c r="A14" s="7" t="s">
        <v>55</v>
      </c>
      <c r="B14" s="7"/>
      <c r="C14" s="7"/>
      <c r="D14" s="7"/>
    </row>
    <row r="15" customFormat="false" ht="15" hidden="false" customHeight="true" outlineLevel="0" collapsed="false">
      <c r="A15" s="5" t="s">
        <v>56</v>
      </c>
      <c r="B15" s="13" t="n">
        <v>2500</v>
      </c>
      <c r="C15" s="9" t="s">
        <v>57</v>
      </c>
      <c r="D15" s="9" t="s">
        <v>58</v>
      </c>
    </row>
    <row r="16" customFormat="false" ht="15" hidden="false" customHeight="true" outlineLevel="0" collapsed="false">
      <c r="A16" s="5" t="s">
        <v>59</v>
      </c>
      <c r="B16" s="13" t="n">
        <v>15000</v>
      </c>
      <c r="C16" s="9" t="s">
        <v>57</v>
      </c>
      <c r="D16" s="9" t="s">
        <v>60</v>
      </c>
    </row>
    <row r="17" customFormat="false" ht="15" hidden="false" customHeight="true" outlineLevel="0" collapsed="false">
      <c r="A17" s="5" t="s">
        <v>61</v>
      </c>
      <c r="B17" s="13" t="n">
        <v>55000</v>
      </c>
      <c r="C17" s="9" t="s">
        <v>57</v>
      </c>
      <c r="D17" s="9" t="s">
        <v>60</v>
      </c>
    </row>
    <row r="18" customFormat="false" ht="15" hidden="false" customHeight="true" outlineLevel="0" collapsed="false">
      <c r="A18" s="5" t="s">
        <v>62</v>
      </c>
      <c r="B18" s="14" t="n">
        <v>0.065</v>
      </c>
      <c r="C18" s="9" t="s">
        <v>45</v>
      </c>
      <c r="D18" s="9" t="s">
        <v>63</v>
      </c>
    </row>
    <row r="19" customFormat="false" ht="15" hidden="false" customHeight="true" outlineLevel="0" collapsed="false">
      <c r="A19" s="5" t="s">
        <v>64</v>
      </c>
      <c r="B19" s="10" t="n">
        <v>0.45</v>
      </c>
      <c r="C19" s="9" t="s">
        <v>45</v>
      </c>
      <c r="D19" s="9" t="s">
        <v>65</v>
      </c>
    </row>
    <row r="20" customFormat="false" ht="15" hidden="false" customHeight="true" outlineLevel="0" collapsed="false">
      <c r="A20" s="5" t="s">
        <v>66</v>
      </c>
      <c r="B20" s="15" t="n">
        <f aca="false">B18*B19</f>
        <v>0.02925</v>
      </c>
      <c r="C20" s="9" t="s">
        <v>45</v>
      </c>
      <c r="D20" s="9" t="s">
        <v>67</v>
      </c>
    </row>
    <row r="21" customFormat="false" ht="15" hidden="false" customHeight="true" outlineLevel="0" collapsed="false">
      <c r="A21" s="5" t="s">
        <v>68</v>
      </c>
      <c r="B21" s="14" t="n">
        <v>0.6</v>
      </c>
      <c r="C21" s="9" t="s">
        <v>45</v>
      </c>
      <c r="D21" s="9" t="s">
        <v>69</v>
      </c>
    </row>
    <row r="22" customFormat="false" ht="15" hidden="false" customHeight="true" outlineLevel="0" collapsed="false">
      <c r="A22" s="5" t="s">
        <v>70</v>
      </c>
      <c r="B22" s="14" t="n">
        <v>0.4</v>
      </c>
      <c r="C22" s="9" t="s">
        <v>45</v>
      </c>
      <c r="D22" s="9" t="s">
        <v>71</v>
      </c>
    </row>
    <row r="23" customFormat="false" ht="15" hidden="false" customHeight="true" outlineLevel="0" collapsed="false">
      <c r="A23" s="5" t="s">
        <v>72</v>
      </c>
      <c r="B23" s="10" t="n">
        <v>0.055</v>
      </c>
      <c r="C23" s="9" t="s">
        <v>45</v>
      </c>
      <c r="D23" s="9" t="s">
        <v>73</v>
      </c>
    </row>
    <row r="24" customFormat="false" ht="15" hidden="false" customHeight="true" outlineLevel="0" collapsed="false">
      <c r="A24" s="5" t="s">
        <v>74</v>
      </c>
      <c r="B24" s="16" t="n">
        <f aca="false">IFERROR(1/B23,0)</f>
        <v>18.1818181818182</v>
      </c>
      <c r="C24" s="9" t="s">
        <v>75</v>
      </c>
      <c r="D24" s="9"/>
    </row>
    <row r="26" customFormat="false" ht="15" hidden="false" customHeight="true" outlineLevel="0" collapsed="false">
      <c r="A26" s="7" t="s">
        <v>76</v>
      </c>
      <c r="B26" s="7"/>
      <c r="C26" s="7"/>
      <c r="D26" s="7"/>
    </row>
    <row r="27" customFormat="false" ht="15" hidden="false" customHeight="true" outlineLevel="0" collapsed="false">
      <c r="A27" s="5" t="s">
        <v>77</v>
      </c>
      <c r="B27" s="13" t="n">
        <v>12</v>
      </c>
      <c r="C27" s="9" t="s">
        <v>78</v>
      </c>
      <c r="D27" s="9" t="s">
        <v>79</v>
      </c>
    </row>
    <row r="28" customFormat="false" ht="15" hidden="false" customHeight="true" outlineLevel="0" collapsed="false">
      <c r="A28" s="5" t="s">
        <v>80</v>
      </c>
      <c r="B28" s="13" t="n">
        <v>45</v>
      </c>
      <c r="C28" s="9" t="s">
        <v>78</v>
      </c>
      <c r="D28" s="9" t="s">
        <v>81</v>
      </c>
    </row>
    <row r="29" customFormat="false" ht="15" hidden="false" customHeight="true" outlineLevel="0" collapsed="false">
      <c r="A29" s="5" t="s">
        <v>82</v>
      </c>
      <c r="B29" s="13" t="n">
        <v>40</v>
      </c>
      <c r="C29" s="9" t="s">
        <v>83</v>
      </c>
      <c r="D29" s="9"/>
    </row>
    <row r="30" customFormat="false" ht="15" hidden="false" customHeight="true" outlineLevel="0" collapsed="false">
      <c r="A30" s="5" t="s">
        <v>84</v>
      </c>
      <c r="B30" s="13" t="n">
        <v>8</v>
      </c>
      <c r="C30" s="9" t="s">
        <v>83</v>
      </c>
      <c r="D30" s="9"/>
    </row>
    <row r="31" customFormat="false" ht="15" hidden="false" customHeight="true" outlineLevel="0" collapsed="false">
      <c r="A31" s="5" t="s">
        <v>85</v>
      </c>
      <c r="B31" s="17" t="n">
        <v>5</v>
      </c>
      <c r="C31" s="9" t="s">
        <v>86</v>
      </c>
      <c r="D31" s="9" t="s">
        <v>87</v>
      </c>
    </row>
    <row r="33" customFormat="false" ht="15" hidden="false" customHeight="true" outlineLevel="0" collapsed="false">
      <c r="A33" s="7" t="s">
        <v>88</v>
      </c>
      <c r="B33" s="7"/>
      <c r="C33" s="7"/>
      <c r="D33" s="7"/>
    </row>
    <row r="34" customFormat="false" ht="15" hidden="false" customHeight="true" outlineLevel="0" collapsed="false">
      <c r="A34" s="5" t="s">
        <v>89</v>
      </c>
      <c r="B34" s="10" t="n">
        <v>0.45</v>
      </c>
      <c r="C34" s="9" t="s">
        <v>45</v>
      </c>
      <c r="D34" s="9" t="s">
        <v>90</v>
      </c>
    </row>
    <row r="35" customFormat="false" ht="15" hidden="false" customHeight="true" outlineLevel="0" collapsed="false">
      <c r="A35" s="5" t="s">
        <v>91</v>
      </c>
      <c r="B35" s="10" t="n">
        <v>0.55</v>
      </c>
      <c r="C35" s="9" t="s">
        <v>45</v>
      </c>
      <c r="D35" s="9" t="s">
        <v>92</v>
      </c>
    </row>
    <row r="36" customFormat="false" ht="15" hidden="false" customHeight="true" outlineLevel="0" collapsed="false">
      <c r="A36" s="5" t="s">
        <v>93</v>
      </c>
      <c r="B36" s="18" t="n">
        <f aca="false">B34+B35</f>
        <v>1</v>
      </c>
      <c r="C36" s="9" t="s">
        <v>45</v>
      </c>
      <c r="D36" s="9"/>
    </row>
    <row r="38" customFormat="false" ht="15" hidden="false" customHeight="true" outlineLevel="0" collapsed="false">
      <c r="A38" s="7" t="s">
        <v>94</v>
      </c>
      <c r="B38" s="7"/>
      <c r="C38" s="7"/>
      <c r="D38" s="7"/>
    </row>
    <row r="39" customFormat="false" ht="15" hidden="false" customHeight="true" outlineLevel="0" collapsed="false">
      <c r="A39" s="5" t="s">
        <v>95</v>
      </c>
      <c r="B39" s="10" t="n">
        <v>0.15</v>
      </c>
      <c r="C39" s="9" t="s">
        <v>45</v>
      </c>
      <c r="D39" s="9" t="s">
        <v>96</v>
      </c>
    </row>
    <row r="40" customFormat="false" ht="15" hidden="false" customHeight="true" outlineLevel="0" collapsed="false">
      <c r="A40" s="5" t="s">
        <v>97</v>
      </c>
      <c r="B40" s="19" t="n">
        <v>120</v>
      </c>
      <c r="C40" s="9" t="s">
        <v>98</v>
      </c>
      <c r="D40" s="9" t="s">
        <v>99</v>
      </c>
    </row>
    <row r="41" customFormat="false" ht="15" hidden="false" customHeight="true" outlineLevel="0" collapsed="false">
      <c r="A41" s="5" t="s">
        <v>100</v>
      </c>
      <c r="B41" s="19" t="n">
        <v>520</v>
      </c>
      <c r="C41" s="9" t="s">
        <v>98</v>
      </c>
      <c r="D41" s="9" t="s">
        <v>101</v>
      </c>
    </row>
    <row r="42" customFormat="false" ht="15" hidden="false" customHeight="true" outlineLevel="0" collapsed="false">
      <c r="A42" s="5" t="s">
        <v>102</v>
      </c>
      <c r="B42" s="20" t="n">
        <v>12</v>
      </c>
      <c r="C42" s="9" t="s">
        <v>40</v>
      </c>
      <c r="D42" s="9" t="s">
        <v>103</v>
      </c>
    </row>
    <row r="43" customFormat="false" ht="15" hidden="false" customHeight="true" outlineLevel="0" collapsed="false">
      <c r="A43" s="5" t="s">
        <v>104</v>
      </c>
      <c r="B43" s="19" t="n">
        <v>0</v>
      </c>
      <c r="C43" s="9" t="s">
        <v>98</v>
      </c>
      <c r="D43" s="9" t="s">
        <v>105</v>
      </c>
    </row>
  </sheetData>
  <mergeCells count="6">
    <mergeCell ref="A1:D1"/>
    <mergeCell ref="A4:D4"/>
    <mergeCell ref="A14:D14"/>
    <mergeCell ref="A26:D26"/>
    <mergeCell ref="A33:D33"/>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6" min="3" style="1" width="14"/>
    <col collapsed="false" customWidth="true" hidden="false" outlineLevel="0" max="7" min="7" style="1" width="62"/>
  </cols>
  <sheetData>
    <row r="1" customFormat="false" ht="17.25" hidden="false" customHeight="true" outlineLevel="0" collapsed="false">
      <c r="A1" s="2" t="s">
        <v>106</v>
      </c>
      <c r="B1" s="2"/>
      <c r="C1" s="2"/>
      <c r="D1" s="2"/>
      <c r="E1" s="2"/>
      <c r="F1" s="2"/>
      <c r="G1" s="2"/>
    </row>
    <row r="3" customFormat="false" ht="15" hidden="false" customHeight="true" outlineLevel="0" collapsed="false">
      <c r="A3" s="21" t="s">
        <v>107</v>
      </c>
      <c r="B3" s="21"/>
      <c r="C3" s="21"/>
      <c r="D3" s="21"/>
      <c r="E3" s="21"/>
      <c r="F3" s="21"/>
      <c r="G3" s="21"/>
    </row>
    <row r="4" customFormat="false" ht="15" hidden="false" customHeight="true" outlineLevel="0" collapsed="false">
      <c r="A4" s="21"/>
      <c r="B4" s="21"/>
      <c r="C4" s="21"/>
      <c r="D4" s="21"/>
      <c r="E4" s="21"/>
      <c r="F4" s="21"/>
      <c r="G4" s="21"/>
    </row>
    <row r="5" customFormat="false" ht="15" hidden="false" customHeight="true" outlineLevel="0" collapsed="false">
      <c r="A5" s="21"/>
      <c r="B5" s="21"/>
      <c r="C5" s="21"/>
      <c r="D5" s="21"/>
      <c r="E5" s="21"/>
      <c r="F5" s="21"/>
      <c r="G5" s="21"/>
    </row>
    <row r="6" customFormat="false" ht="15" hidden="false" customHeight="true" outlineLevel="0" collapsed="false">
      <c r="A6" s="21"/>
      <c r="B6" s="21"/>
      <c r="C6" s="21"/>
      <c r="D6" s="21"/>
      <c r="E6" s="21"/>
      <c r="F6" s="21"/>
      <c r="G6" s="21"/>
    </row>
    <row r="8" customFormat="false" ht="15" hidden="false" customHeight="true" outlineLevel="0" collapsed="false">
      <c r="A8" s="7" t="s">
        <v>108</v>
      </c>
      <c r="B8" s="7"/>
      <c r="C8" s="7"/>
      <c r="D8" s="7"/>
      <c r="E8" s="7"/>
      <c r="F8" s="7"/>
      <c r="G8" s="7"/>
    </row>
    <row r="9" customFormat="false" ht="31.5" hidden="false" customHeight="true" outlineLevel="0" collapsed="false">
      <c r="A9" s="6" t="s">
        <v>109</v>
      </c>
      <c r="B9" s="6" t="s">
        <v>110</v>
      </c>
      <c r="C9" s="6" t="s">
        <v>111</v>
      </c>
      <c r="D9" s="6" t="s">
        <v>112</v>
      </c>
      <c r="E9" s="6" t="s">
        <v>113</v>
      </c>
      <c r="F9" s="6" t="s">
        <v>114</v>
      </c>
      <c r="G9" s="6" t="s">
        <v>115</v>
      </c>
    </row>
    <row r="10" customFormat="false" ht="15" hidden="false" customHeight="true" outlineLevel="0" collapsed="false">
      <c r="A10" s="5" t="s">
        <v>116</v>
      </c>
      <c r="B10" s="22" t="n">
        <v>16.99</v>
      </c>
      <c r="C10" s="22" t="n">
        <v>119.99</v>
      </c>
      <c r="D10" s="23" t="n">
        <f aca="false">C10/12</f>
        <v>9.99916666666667</v>
      </c>
      <c r="E10" s="5" t="s">
        <v>117</v>
      </c>
      <c r="F10" s="5" t="s">
        <v>118</v>
      </c>
      <c r="G10" s="9" t="s">
        <v>119</v>
      </c>
    </row>
    <row r="11" customFormat="false" ht="15" hidden="false" customHeight="true" outlineLevel="0" collapsed="false">
      <c r="A11" s="5" t="s">
        <v>120</v>
      </c>
      <c r="B11" s="22" t="n">
        <v>21.99</v>
      </c>
      <c r="C11" s="22" t="n">
        <v>159.99</v>
      </c>
      <c r="D11" s="23" t="n">
        <f aca="false">C11/12</f>
        <v>13.3325</v>
      </c>
      <c r="E11" s="5" t="s">
        <v>117</v>
      </c>
      <c r="F11" s="5" t="s">
        <v>121</v>
      </c>
      <c r="G11" s="9" t="s">
        <v>122</v>
      </c>
    </row>
    <row r="12" customFormat="false" ht="15" hidden="false" customHeight="true" outlineLevel="0" collapsed="false">
      <c r="A12" s="5" t="s">
        <v>123</v>
      </c>
      <c r="B12" s="22" t="n">
        <v>9.99</v>
      </c>
      <c r="D12" s="23" t="n">
        <f aca="false">B12</f>
        <v>9.99</v>
      </c>
      <c r="E12" s="5" t="s">
        <v>124</v>
      </c>
      <c r="F12" s="5" t="s">
        <v>125</v>
      </c>
      <c r="G12" s="9" t="s">
        <v>126</v>
      </c>
    </row>
    <row r="14" customFormat="false" ht="15" hidden="false" customHeight="true" outlineLevel="0" collapsed="false">
      <c r="A14" s="7" t="s">
        <v>127</v>
      </c>
      <c r="B14" s="7"/>
      <c r="C14" s="7"/>
      <c r="D14" s="7"/>
      <c r="E14" s="7"/>
      <c r="F14" s="7"/>
      <c r="G14" s="7"/>
    </row>
    <row r="15" customFormat="false" ht="15" hidden="false" customHeight="true" outlineLevel="0" collapsed="false">
      <c r="A15" s="21" t="s">
        <v>128</v>
      </c>
      <c r="B15" s="21"/>
      <c r="C15" s="21"/>
      <c r="D15" s="21"/>
      <c r="E15" s="21"/>
      <c r="F15" s="21"/>
      <c r="G15" s="21"/>
    </row>
    <row r="16" customFormat="false" ht="15" hidden="false" customHeight="true" outlineLevel="0" collapsed="false">
      <c r="A16" s="21"/>
      <c r="B16" s="21"/>
      <c r="C16" s="21"/>
      <c r="D16" s="21"/>
      <c r="E16" s="21"/>
      <c r="F16" s="21"/>
      <c r="G16" s="21"/>
    </row>
    <row r="18" customFormat="false" ht="31.5" hidden="false" customHeight="true" outlineLevel="0" collapsed="false">
      <c r="A18" s="6" t="s">
        <v>129</v>
      </c>
      <c r="B18" s="6" t="s">
        <v>130</v>
      </c>
      <c r="C18" s="6" t="s">
        <v>131</v>
      </c>
      <c r="D18" s="6" t="s">
        <v>132</v>
      </c>
      <c r="E18" s="6" t="s">
        <v>133</v>
      </c>
      <c r="F18" s="6" t="s">
        <v>134</v>
      </c>
      <c r="G18" s="6" t="s">
        <v>115</v>
      </c>
    </row>
    <row r="19" customFormat="false" ht="15" hidden="false" customHeight="true" outlineLevel="0" collapsed="false">
      <c r="A19" s="5" t="s">
        <v>135</v>
      </c>
      <c r="B19" s="5" t="s">
        <v>136</v>
      </c>
      <c r="C19" s="24" t="n">
        <v>1</v>
      </c>
      <c r="D19" s="23" t="n">
        <f aca="false">$B$12*C19</f>
        <v>9.99</v>
      </c>
      <c r="E19" s="23" t="n">
        <f aca="false">$B$53*C19</f>
        <v>9.99</v>
      </c>
      <c r="F19" s="25" t="n">
        <f aca="false">Assumptions!B34</f>
        <v>0.45</v>
      </c>
      <c r="G19" s="9" t="s">
        <v>137</v>
      </c>
    </row>
    <row r="20" customFormat="false" ht="15" hidden="false" customHeight="true" outlineLevel="0" collapsed="false">
      <c r="A20" s="5" t="s">
        <v>138</v>
      </c>
      <c r="B20" s="5" t="s">
        <v>139</v>
      </c>
      <c r="C20" s="24" t="n">
        <v>0.7</v>
      </c>
      <c r="D20" s="23" t="n">
        <f aca="false">$B$12*C20</f>
        <v>6.993</v>
      </c>
      <c r="E20" s="23" t="n">
        <f aca="false">$B$53*C20</f>
        <v>6.993</v>
      </c>
      <c r="F20" s="14" t="n">
        <v>0.1</v>
      </c>
      <c r="G20" s="9" t="s">
        <v>140</v>
      </c>
    </row>
    <row r="21" customFormat="false" ht="15" hidden="false" customHeight="true" outlineLevel="0" collapsed="false">
      <c r="A21" s="5" t="s">
        <v>141</v>
      </c>
      <c r="B21" s="5" t="s">
        <v>142</v>
      </c>
      <c r="C21" s="24" t="n">
        <v>0.5</v>
      </c>
      <c r="D21" s="23" t="n">
        <f aca="false">$B$12*C21</f>
        <v>4.995</v>
      </c>
      <c r="E21" s="23" t="n">
        <f aca="false">$B$53*C21</f>
        <v>4.995</v>
      </c>
      <c r="F21" s="14" t="n">
        <v>0.45</v>
      </c>
      <c r="G21" s="9" t="s">
        <v>143</v>
      </c>
    </row>
    <row r="22" customFormat="false" ht="15" hidden="false" customHeight="true" outlineLevel="0" collapsed="false">
      <c r="A22" s="3" t="s">
        <v>144</v>
      </c>
      <c r="C22" s="26" t="n">
        <f aca="false">SUMPRODUCT(C19:C21,F19:F21)/SUM(F19:F21)</f>
        <v>0.745</v>
      </c>
      <c r="G22" s="9" t="s">
        <v>145</v>
      </c>
    </row>
    <row r="24" customFormat="false" ht="15" hidden="false" customHeight="true" outlineLevel="0" collapsed="false">
      <c r="A24" s="7" t="s">
        <v>146</v>
      </c>
      <c r="B24" s="7"/>
      <c r="C24" s="7"/>
      <c r="D24" s="7"/>
      <c r="E24" s="7"/>
      <c r="F24" s="7"/>
      <c r="G24" s="7"/>
    </row>
    <row r="25" customFormat="false" ht="15" hidden="false" customHeight="true" outlineLevel="0" collapsed="false">
      <c r="A25" s="5" t="s">
        <v>147</v>
      </c>
      <c r="B25" s="27" t="n">
        <f aca="false">B12</f>
        <v>9.99</v>
      </c>
      <c r="C25" s="9" t="s">
        <v>98</v>
      </c>
      <c r="G25" s="9" t="s">
        <v>148</v>
      </c>
    </row>
    <row r="26" customFormat="false" ht="15" hidden="false" customHeight="true" outlineLevel="0" collapsed="false">
      <c r="A26" s="5" t="s">
        <v>149</v>
      </c>
      <c r="B26" s="28" t="n">
        <f aca="false">Assumptions!B20</f>
        <v>0.02925</v>
      </c>
      <c r="C26" s="9" t="s">
        <v>45</v>
      </c>
      <c r="G26" s="9" t="s">
        <v>150</v>
      </c>
    </row>
    <row r="27" customFormat="false" ht="15" hidden="false" customHeight="true" outlineLevel="0" collapsed="false">
      <c r="A27" s="5" t="s">
        <v>151</v>
      </c>
      <c r="B27" s="29" t="n">
        <v>1.4</v>
      </c>
      <c r="C27" s="9" t="s">
        <v>124</v>
      </c>
      <c r="G27" s="9" t="s">
        <v>152</v>
      </c>
    </row>
    <row r="28" customFormat="false" ht="15" hidden="false" customHeight="true" outlineLevel="0" collapsed="false">
      <c r="A28" s="5" t="s">
        <v>153</v>
      </c>
      <c r="B28" s="10" t="n">
        <v>0.25</v>
      </c>
      <c r="C28" s="9" t="s">
        <v>45</v>
      </c>
      <c r="G28" s="9" t="s">
        <v>154</v>
      </c>
    </row>
    <row r="29" customFormat="false" ht="15" hidden="false" customHeight="true" outlineLevel="0" collapsed="false">
      <c r="A29" s="5" t="s">
        <v>155</v>
      </c>
      <c r="B29" s="20" t="n">
        <v>14</v>
      </c>
      <c r="C29" s="9" t="s">
        <v>98</v>
      </c>
      <c r="G29" s="9" t="s">
        <v>156</v>
      </c>
    </row>
    <row r="30" customFormat="false" ht="15" hidden="false" customHeight="true" outlineLevel="0" collapsed="false">
      <c r="A30" s="5" t="s">
        <v>157</v>
      </c>
      <c r="B30" s="30" t="n">
        <v>3</v>
      </c>
      <c r="C30" s="9" t="s">
        <v>158</v>
      </c>
      <c r="G30" s="9" t="s">
        <v>159</v>
      </c>
    </row>
    <row r="32" customFormat="false" ht="15" hidden="false" customHeight="true" outlineLevel="0" collapsed="false">
      <c r="A32" s="7" t="s">
        <v>160</v>
      </c>
      <c r="B32" s="7"/>
      <c r="C32" s="7"/>
      <c r="D32" s="7"/>
      <c r="E32" s="7"/>
      <c r="F32" s="7"/>
      <c r="G32" s="7"/>
    </row>
    <row r="33" customFormat="false" ht="31.5" hidden="false" customHeight="true" outlineLevel="0" collapsed="false">
      <c r="A33" s="6" t="s">
        <v>161</v>
      </c>
      <c r="B33" s="6" t="s">
        <v>162</v>
      </c>
      <c r="C33" s="6" t="s">
        <v>163</v>
      </c>
      <c r="D33" s="6" t="s">
        <v>164</v>
      </c>
      <c r="E33" s="6" t="s">
        <v>165</v>
      </c>
      <c r="F33" s="6" t="s">
        <v>166</v>
      </c>
      <c r="G33" s="6" t="s">
        <v>167</v>
      </c>
    </row>
    <row r="34" customFormat="false" ht="15" hidden="false" customHeight="true" outlineLevel="0" collapsed="false">
      <c r="A34" s="22" t="n">
        <v>3.99</v>
      </c>
      <c r="B34" s="15" t="n">
        <f aca="false">MIN($B$28,$B$26*POWER(A34/$B$25,-$B$27))</f>
        <v>0.105719597250272</v>
      </c>
      <c r="C34" s="23" t="n">
        <f aca="false">A34*12*$C$22*(1-Assumptions!$B$21*Assumptions!$B$22)*(1-Assumptions!$B$39)</f>
        <v>23.0432076</v>
      </c>
      <c r="D34" s="23" t="n">
        <f aca="false">B34*(C34-'Cost to Serve'!$B$40)-(1-B34)*'Cost to Serve'!$B$38</f>
        <v>2.27381256284152</v>
      </c>
      <c r="E34" s="23" t="n">
        <f aca="false">IFERROR(Assumptions!$B$42/B34,0)</f>
        <v>113.507810397652</v>
      </c>
      <c r="F34" s="31" t="n">
        <f aca="false">IFERROR((C34/12*Assumptions!$B$24)/E34,0)</f>
        <v>0.307590735710405</v>
      </c>
      <c r="G34" s="9" t="str">
        <f aca="false">IF(F34&gt;=$B$30,"funds its own growth","CAC not repaid")</f>
        <v>CAC not repaid</v>
      </c>
    </row>
    <row r="35" customFormat="false" ht="15" hidden="false" customHeight="true" outlineLevel="0" collapsed="false">
      <c r="A35" s="22" t="n">
        <v>4.99</v>
      </c>
      <c r="B35" s="15" t="n">
        <f aca="false">MIN($B$28,$B$26*POWER(A35/$B$25,-$B$27))</f>
        <v>0.0772995187425462</v>
      </c>
      <c r="C35" s="23" t="n">
        <f aca="false">A35*12*$C$22*(1-Assumptions!$B$21*Assumptions!$B$22)*(1-Assumptions!$B$39)</f>
        <v>28.8184476</v>
      </c>
      <c r="D35" s="23" t="n">
        <f aca="false">B35*(C35-'Cost to Serve'!$B$40)-(1-B35)*'Cost to Serve'!$B$38</f>
        <v>2.0769706174341</v>
      </c>
      <c r="E35" s="23" t="n">
        <f aca="false">IFERROR(Assumptions!$B$42/B35,0)</f>
        <v>155.240293797523</v>
      </c>
      <c r="F35" s="31" t="n">
        <f aca="false">IFERROR((C35/12*Assumptions!$B$24)/E35,0)</f>
        <v>0.281269208382233</v>
      </c>
      <c r="G35" s="9" t="str">
        <f aca="false">IF(F35&gt;=$B$30,"funds its own growth","CAC not repaid")</f>
        <v>CAC not repaid</v>
      </c>
    </row>
    <row r="36" customFormat="false" ht="15" hidden="false" customHeight="true" outlineLevel="0" collapsed="false">
      <c r="A36" s="22" t="n">
        <v>5.99</v>
      </c>
      <c r="B36" s="15" t="n">
        <f aca="false">MIN($B$28,$B$26*POWER(A36/$B$25,-$B$27))</f>
        <v>0.0598576968709274</v>
      </c>
      <c r="C36" s="23" t="n">
        <f aca="false">A36*12*$C$22*(1-Assumptions!$B$21*Assumptions!$B$22)*(1-Assumptions!$B$39)</f>
        <v>34.5936876</v>
      </c>
      <c r="D36" s="23" t="n">
        <f aca="false">B36*(C36-'Cost to Serve'!$B$40)-(1-B36)*'Cost to Serve'!$B$38</f>
        <v>1.92715111168803</v>
      </c>
      <c r="E36" s="23" t="n">
        <f aca="false">IFERROR(Assumptions!$B$42/B36,0)</f>
        <v>200.475471448156</v>
      </c>
      <c r="F36" s="31" t="n">
        <f aca="false">IFERROR((C36/12*Assumptions!$B$24)/E36,0)</f>
        <v>0.261451826516207</v>
      </c>
      <c r="G36" s="9" t="str">
        <f aca="false">IF(F36&gt;=$B$30,"funds its own growth","CAC not repaid")</f>
        <v>CAC not repaid</v>
      </c>
    </row>
    <row r="37" customFormat="false" ht="15" hidden="false" customHeight="true" outlineLevel="0" collapsed="false">
      <c r="A37" s="22" t="n">
        <v>6.99</v>
      </c>
      <c r="B37" s="15" t="n">
        <f aca="false">MIN($B$28,$B$26*POWER(A37/$B$25,-$B$27))</f>
        <v>0.0482224762524619</v>
      </c>
      <c r="C37" s="23" t="n">
        <f aca="false">A37*12*$C$22*(1-Assumptions!$B$21*Assumptions!$B$22)*(1-Assumptions!$B$39)</f>
        <v>40.3689276</v>
      </c>
      <c r="D37" s="23" t="n">
        <f aca="false">B37*(C37-'Cost to Serve'!$B$40)-(1-B37)*'Cost to Serve'!$B$38</f>
        <v>1.80790140595671</v>
      </c>
      <c r="E37" s="23" t="n">
        <f aca="false">IFERROR(Assumptions!$B$42/B37,0)</f>
        <v>248.846615366156</v>
      </c>
      <c r="F37" s="31" t="n">
        <f aca="false">IFERROR((C37/12*Assumptions!$B$24)/E37,0)</f>
        <v>0.245794148046509</v>
      </c>
      <c r="G37" s="9" t="str">
        <f aca="false">IF(F37&gt;=$B$30,"funds its own growth","CAC not repaid")</f>
        <v>CAC not repaid</v>
      </c>
    </row>
    <row r="38" customFormat="false" ht="15" hidden="false" customHeight="true" outlineLevel="0" collapsed="false">
      <c r="A38" s="22" t="n">
        <v>7.99</v>
      </c>
      <c r="B38" s="15" t="n">
        <f aca="false">MIN($B$28,$B$26*POWER(A38/$B$25,-$B$27))</f>
        <v>0.0399900606590506</v>
      </c>
      <c r="C38" s="23" t="n">
        <f aca="false">A38*12*$C$22*(1-Assumptions!$B$21*Assumptions!$B$22)*(1-Assumptions!$B$39)</f>
        <v>46.1441676</v>
      </c>
      <c r="D38" s="23" t="n">
        <f aca="false">B38*(C38-'Cost to Serve'!$B$40)-(1-B38)*'Cost to Serve'!$B$38</f>
        <v>1.70988708683427</v>
      </c>
      <c r="E38" s="23" t="n">
        <f aca="false">IFERROR(Assumptions!$B$42/B38,0)</f>
        <v>300.074563584943</v>
      </c>
      <c r="F38" s="31" t="n">
        <f aca="false">IFERROR((C38/12*Assumptions!$B$24)/E38,0)</f>
        <v>0.232993442094116</v>
      </c>
      <c r="G38" s="9" t="str">
        <f aca="false">IF(F38&gt;=$B$30,"funds its own growth","CAC not repaid")</f>
        <v>CAC not repaid</v>
      </c>
    </row>
    <row r="39" customFormat="false" ht="15" hidden="false" customHeight="true" outlineLevel="0" collapsed="false">
      <c r="A39" s="22" t="n">
        <v>8.99</v>
      </c>
      <c r="B39" s="15" t="n">
        <f aca="false">MIN($B$28,$B$26*POWER(A39/$B$25,-$B$27))</f>
        <v>0.0339042378034774</v>
      </c>
      <c r="C39" s="23" t="n">
        <f aca="false">A39*12*$C$22*(1-Assumptions!$B$21*Assumptions!$B$22)*(1-Assumptions!$B$39)</f>
        <v>51.9194076</v>
      </c>
      <c r="D39" s="23" t="n">
        <f aca="false">B39*(C39-'Cost to Serve'!$B$40)-(1-B39)*'Cost to Serve'!$B$38</f>
        <v>1.62735622711427</v>
      </c>
      <c r="E39" s="23" t="n">
        <f aca="false">IFERROR(Assumptions!$B$42/B39,0)</f>
        <v>353.938055459522</v>
      </c>
      <c r="F39" s="31" t="n">
        <f aca="false">IFERROR((C39/12*Assumptions!$B$24)/E39,0)</f>
        <v>0.222258578520969</v>
      </c>
      <c r="G39" s="9" t="str">
        <f aca="false">IF(F39&gt;=$B$30,"funds its own growth","CAC not repaid")</f>
        <v>CAC not repaid</v>
      </c>
    </row>
    <row r="40" customFormat="false" ht="15" hidden="false" customHeight="true" outlineLevel="0" collapsed="false">
      <c r="A40" s="22" t="n">
        <v>9.99</v>
      </c>
      <c r="B40" s="15" t="n">
        <f aca="false">MIN($B$28,$B$26*POWER(A40/$B$25,-$B$27))</f>
        <v>0.02925</v>
      </c>
      <c r="C40" s="23" t="n">
        <f aca="false">A40*12*$C$22*(1-Assumptions!$B$21*Assumptions!$B$22)*(1-Assumptions!$B$39)</f>
        <v>57.6946476</v>
      </c>
      <c r="D40" s="23" t="n">
        <f aca="false">B40*(C40-'Cost to Serve'!$B$40)-(1-B40)*'Cost to Serve'!$B$38</f>
        <v>1.5565404318</v>
      </c>
      <c r="E40" s="23" t="n">
        <f aca="false">IFERROR(Assumptions!$B$42/B40,0)</f>
        <v>410.25641025641</v>
      </c>
      <c r="F40" s="31" t="n">
        <f aca="false">IFERROR((C40/12*Assumptions!$B$24)/E40,0)</f>
        <v>0.213076823522727</v>
      </c>
      <c r="G40" s="9" t="str">
        <f aca="false">IF(F40&gt;=$B$30,"funds its own growth","CAC not repaid")</f>
        <v>CAC not repaid</v>
      </c>
    </row>
    <row r="41" customFormat="false" ht="15" hidden="false" customHeight="true" outlineLevel="0" collapsed="false">
      <c r="A41" s="22" t="n">
        <v>11.99</v>
      </c>
      <c r="B41" s="15" t="n">
        <f aca="false">MIN($B$28,$B$26*POWER(A41/$B$25,-$B$27))</f>
        <v>0.0226553459134131</v>
      </c>
      <c r="C41" s="23" t="n">
        <f aca="false">A41*12*$C$22*(1-Assumptions!$B$21*Assumptions!$B$22)*(1-Assumptions!$B$39)</f>
        <v>69.2451276</v>
      </c>
      <c r="D41" s="23" t="n">
        <f aca="false">B41*(C41-'Cost to Serve'!$B$40)-(1-B41)*'Cost to Serve'!$B$38</f>
        <v>1.44044169307885</v>
      </c>
      <c r="E41" s="23" t="n">
        <f aca="false">IFERROR(Assumptions!$B$42/B41,0)</f>
        <v>529.676308888111</v>
      </c>
      <c r="F41" s="31" t="n">
        <f aca="false">IFERROR((C41/12*Assumptions!$B$24)/E41,0)</f>
        <v>0.198077312954095</v>
      </c>
      <c r="G41" s="9" t="str">
        <f aca="false">IF(F41&gt;=$B$30,"funds its own growth","CAC not repaid")</f>
        <v>CAC not repaid</v>
      </c>
    </row>
    <row r="42" customFormat="false" ht="15" hidden="false" customHeight="true" outlineLevel="0" collapsed="false">
      <c r="A42" s="22" t="n">
        <v>13.99</v>
      </c>
      <c r="B42" s="15" t="n">
        <f aca="false">MIN($B$28,$B$26*POWER(A42/$B$25,-$B$27))</f>
        <v>0.0182546181850886</v>
      </c>
      <c r="C42" s="23" t="n">
        <f aca="false">A42*12*$C$22*(1-Assumptions!$B$21*Assumptions!$B$22)*(1-Assumptions!$B$39)</f>
        <v>80.7956076</v>
      </c>
      <c r="D42" s="23" t="n">
        <f aca="false">B42*(C42-'Cost to Serve'!$B$40)-(1-B42)*'Cost to Serve'!$B$38</f>
        <v>1.34836235431247</v>
      </c>
      <c r="E42" s="23" t="n">
        <f aca="false">IFERROR(Assumptions!$B$42/B42,0)</f>
        <v>657.367898814903</v>
      </c>
      <c r="F42" s="31" t="n">
        <f aca="false">IFERROR((C42/12*Assumptions!$B$24)/E42,0)</f>
        <v>0.18622385956695</v>
      </c>
      <c r="G42" s="9" t="str">
        <f aca="false">IF(F42&gt;=$B$30,"funds its own growth","CAC not repaid")</f>
        <v>CAC not repaid</v>
      </c>
    </row>
    <row r="43" customFormat="false" ht="15" hidden="false" customHeight="true" outlineLevel="0" collapsed="false">
      <c r="A43" s="22" t="n">
        <v>15.99</v>
      </c>
      <c r="B43" s="15" t="n">
        <f aca="false">MIN($B$28,$B$26*POWER(A43/$B$25,-$B$27))</f>
        <v>0.0151401335022169</v>
      </c>
      <c r="C43" s="23" t="n">
        <f aca="false">A43*12*$C$22*(1-Assumptions!$B$21*Assumptions!$B$22)*(1-Assumptions!$B$39)</f>
        <v>92.3460876</v>
      </c>
      <c r="D43" s="23" t="n">
        <f aca="false">B43*(C43-'Cost to Serve'!$B$40)-(1-B43)*'Cost to Serve'!$B$38</f>
        <v>1.27287538642554</v>
      </c>
      <c r="E43" s="23" t="n">
        <f aca="false">IFERROR(Assumptions!$B$42/B43,0)</f>
        <v>792.595388821565</v>
      </c>
      <c r="F43" s="31" t="n">
        <f aca="false">IFERROR((C43/12*Assumptions!$B$24)/E43,0)</f>
        <v>0.17653183013528</v>
      </c>
      <c r="G43" s="9" t="str">
        <f aca="false">IF(F43&gt;=$B$30,"funds its own growth","CAC not repaid")</f>
        <v>CAC not repaid</v>
      </c>
    </row>
    <row r="44" customFormat="false" ht="15" hidden="false" customHeight="true" outlineLevel="0" collapsed="false">
      <c r="A44" s="22" t="n">
        <v>17.99</v>
      </c>
      <c r="B44" s="15" t="n">
        <f aca="false">MIN($B$28,$B$26*POWER(A44/$B$25,-$B$27))</f>
        <v>0.0128373069382946</v>
      </c>
      <c r="C44" s="23" t="n">
        <f aca="false">A44*12*$C$22*(1-Assumptions!$B$21*Assumptions!$B$22)*(1-Assumptions!$B$39)</f>
        <v>103.8965676</v>
      </c>
      <c r="D44" s="23" t="n">
        <f aca="false">B44*(C44-'Cost to Serve'!$B$40)-(1-B44)*'Cost to Serve'!$B$38</f>
        <v>1.20943733580873</v>
      </c>
      <c r="E44" s="23" t="n">
        <f aca="false">IFERROR(Assumptions!$B$42/B44,0)</f>
        <v>934.775499073186</v>
      </c>
      <c r="F44" s="31" t="n">
        <f aca="false">IFERROR((C44/12*Assumptions!$B$24)/E44,0)</f>
        <v>0.168403046479353</v>
      </c>
      <c r="G44" s="9" t="str">
        <f aca="false">IF(F44&gt;=$B$30,"funds its own growth","CAC not repaid")</f>
        <v>CAC not repaid</v>
      </c>
    </row>
    <row r="45" customFormat="false" ht="15" hidden="false" customHeight="true" outlineLevel="0" collapsed="false">
      <c r="A45" s="22" t="n">
        <v>19.99</v>
      </c>
      <c r="B45" s="15" t="n">
        <f aca="false">MIN($B$28,$B$26*POWER(A45/$B$25,-$B$27))</f>
        <v>0.0110759157139163</v>
      </c>
      <c r="C45" s="23" t="n">
        <f aca="false">A45*12*$C$22*(1-Assumptions!$B$21*Assumptions!$B$22)*(1-Assumptions!$B$39)</f>
        <v>115.4470476</v>
      </c>
      <c r="D45" s="23" t="n">
        <f aca="false">B45*(C45-'Cost to Serve'!$B$40)-(1-B45)*'Cost to Serve'!$B$38</f>
        <v>1.15508743113729</v>
      </c>
      <c r="E45" s="23" t="n">
        <f aca="false">IFERROR(Assumptions!$B$42/B45,0)</f>
        <v>1083.4318633287</v>
      </c>
      <c r="F45" s="31" t="n">
        <f aca="false">IFERROR((C45/12*Assumptions!$B$24)/E45,0)</f>
        <v>0.161449718262385</v>
      </c>
      <c r="G45" s="9" t="str">
        <f aca="false">IF(F45&gt;=$B$30,"funds its own growth","CAC not repaid")</f>
        <v>CAC not repaid</v>
      </c>
    </row>
    <row r="46" customFormat="false" ht="15" hidden="false" customHeight="true" outlineLevel="0" collapsed="false">
      <c r="A46" s="22" t="n">
        <v>24.99</v>
      </c>
      <c r="B46" s="15" t="n">
        <f aca="false">MIN($B$28,$B$26*POWER(A46/$B$25,-$B$27))</f>
        <v>0.00810298052963519</v>
      </c>
      <c r="C46" s="23" t="n">
        <f aca="false">A46*12*$C$22*(1-Assumptions!$B$21*Assumptions!$B$22)*(1-Assumptions!$B$39)</f>
        <v>144.3232476</v>
      </c>
      <c r="D46" s="23" t="n">
        <f aca="false">B46*(C46-'Cost to Serve'!$B$40)-(1-B46)*'Cost to Serve'!$B$38</f>
        <v>1.0470701355624</v>
      </c>
      <c r="E46" s="23" t="n">
        <f aca="false">IFERROR(Assumptions!$B$42/B46,0)</f>
        <v>1480.93654626371</v>
      </c>
      <c r="F46" s="31" t="n">
        <f aca="false">IFERROR((C46/12*Assumptions!$B$24)/E46,0)</f>
        <v>0.147657634504611</v>
      </c>
      <c r="G46" s="9" t="str">
        <f aca="false">IF(F46&gt;=$B$30,"funds its own growth","CAC not repaid")</f>
        <v>CAC not repaid</v>
      </c>
    </row>
    <row r="48" customFormat="false" ht="15" hidden="false" customHeight="true" outlineLevel="0" collapsed="false">
      <c r="A48" s="7" t="s">
        <v>168</v>
      </c>
      <c r="B48" s="7"/>
      <c r="C48" s="7"/>
      <c r="D48" s="7"/>
      <c r="E48" s="7"/>
      <c r="F48" s="7"/>
      <c r="G48" s="7"/>
    </row>
    <row r="49" customFormat="false" ht="15" hidden="false" customHeight="true" outlineLevel="0" collapsed="false">
      <c r="A49" s="3" t="s">
        <v>169</v>
      </c>
      <c r="B49" s="23" t="n">
        <f aca="false">B29</f>
        <v>14</v>
      </c>
      <c r="C49" s="9" t="s">
        <v>98</v>
      </c>
      <c r="G49" s="9" t="s">
        <v>170</v>
      </c>
    </row>
    <row r="50" customFormat="false" ht="15" hidden="false" customHeight="true" outlineLevel="0" collapsed="false">
      <c r="A50" s="3" t="s">
        <v>171</v>
      </c>
      <c r="B50" s="23" t="str">
        <f aca="false">IFERROR(INDEX(A34:A46,MATCH(TRUE(),INDEX(F34:F46&gt;=$B$30,0),0)),"none on this grid")</f>
        <v>none on this grid</v>
      </c>
      <c r="C50" s="9" t="s">
        <v>98</v>
      </c>
      <c r="G50" s="9" t="s">
        <v>172</v>
      </c>
    </row>
    <row r="51" customFormat="false" ht="15" hidden="false" customHeight="true" outlineLevel="0" collapsed="false">
      <c r="A51" s="3" t="s">
        <v>173</v>
      </c>
      <c r="B51" s="32" t="str">
        <f aca="false">IF(ISNUMBER(B50),IF(B50&lt;=B49,"YES — price between the floor and the ceiling","NO — floor exceeds ceiling"),"NO — no price clears LTV/CAC at this conversion and CAC")</f>
        <v>NO — no price clears LTV/CAC at this conversion and CAC</v>
      </c>
      <c r="C51" s="9"/>
      <c r="G51" s="9" t="s">
        <v>174</v>
      </c>
    </row>
    <row r="53" customFormat="false" ht="15" hidden="false" customHeight="true" outlineLevel="0" collapsed="false">
      <c r="A53" s="3" t="s">
        <v>175</v>
      </c>
      <c r="B53" s="33" t="n">
        <f aca="false">MIN(B49,$B$12)</f>
        <v>9.99</v>
      </c>
      <c r="C53" s="9" t="s">
        <v>98</v>
      </c>
      <c r="G53" s="9" t="s">
        <v>176</v>
      </c>
    </row>
    <row r="54" customFormat="false" ht="15" hidden="false" customHeight="true" outlineLevel="0" collapsed="false">
      <c r="A54" s="3" t="s">
        <v>177</v>
      </c>
      <c r="B54" s="23" t="n">
        <f aca="false">B53*C21</f>
        <v>4.995</v>
      </c>
      <c r="C54" s="9" t="s">
        <v>98</v>
      </c>
      <c r="G54" s="9" t="s">
        <v>178</v>
      </c>
    </row>
    <row r="55" customFormat="false" ht="15" hidden="false" customHeight="true" outlineLevel="0" collapsed="false">
      <c r="A55" s="3" t="s">
        <v>179</v>
      </c>
      <c r="B55" s="23" t="n">
        <f aca="false">B53*12*(1-Assumptions!B22)</f>
        <v>71.928</v>
      </c>
      <c r="C55" s="9" t="s">
        <v>180</v>
      </c>
      <c r="G55" s="9" t="s">
        <v>181</v>
      </c>
    </row>
    <row r="56" customFormat="false" ht="15" hidden="false" customHeight="true" outlineLevel="0" collapsed="false">
      <c r="A56" s="3" t="s">
        <v>182</v>
      </c>
      <c r="B56" s="34" t="n">
        <f aca="false">IFERROR(INDEX(F34:F46,MATCH(B53,A34:A46,0)),0)</f>
        <v>0.213076823522727</v>
      </c>
      <c r="C56" s="9" t="s">
        <v>158</v>
      </c>
      <c r="G56" s="9"/>
    </row>
    <row r="57" customFormat="false" ht="15" hidden="false" customHeight="true" outlineLevel="0" collapsed="false">
      <c r="A57" s="3" t="s">
        <v>183</v>
      </c>
      <c r="B57" s="35" t="n">
        <f aca="false">IFERROR((INDEX(C34:C46,MATCH(B53,A34:A46,0))/12*Assumptions!B24)*INDEX(B34:B46,MATCH(B53,A34:A46,0))/B30,0)</f>
        <v>0.852307294090909</v>
      </c>
      <c r="C57" s="9" t="s">
        <v>184</v>
      </c>
      <c r="G57" s="9" t="s">
        <v>185</v>
      </c>
    </row>
    <row r="59" customFormat="false" ht="15" hidden="false" customHeight="true" outlineLevel="0" collapsed="false">
      <c r="A59" s="7" t="s">
        <v>186</v>
      </c>
      <c r="B59" s="7"/>
      <c r="C59" s="7"/>
      <c r="D59" s="7"/>
      <c r="E59" s="7"/>
      <c r="F59" s="7"/>
      <c r="G59" s="7"/>
    </row>
    <row r="60" customFormat="false" ht="27.75" hidden="false" customHeight="true" outlineLevel="0" collapsed="false">
      <c r="A60" s="3" t="s">
        <v>187</v>
      </c>
      <c r="B60" s="36" t="s">
        <v>188</v>
      </c>
      <c r="C60" s="36"/>
      <c r="D60" s="36"/>
      <c r="E60" s="36"/>
      <c r="F60" s="36"/>
      <c r="G60" s="36"/>
    </row>
    <row r="61" customFormat="false" ht="51.75" hidden="false" customHeight="true" outlineLevel="0" collapsed="false">
      <c r="A61" s="3" t="s">
        <v>189</v>
      </c>
      <c r="B61" s="36" t="s">
        <v>190</v>
      </c>
      <c r="C61" s="36"/>
      <c r="D61" s="36"/>
      <c r="E61" s="36"/>
      <c r="F61" s="36"/>
      <c r="G61" s="36"/>
    </row>
    <row r="62" customFormat="false" ht="27.75" hidden="false" customHeight="true" outlineLevel="0" collapsed="false">
      <c r="A62" s="3" t="s">
        <v>191</v>
      </c>
      <c r="B62" s="36" t="s">
        <v>192</v>
      </c>
      <c r="C62" s="36"/>
      <c r="D62" s="36"/>
      <c r="E62" s="36"/>
      <c r="F62" s="36"/>
      <c r="G62" s="36"/>
    </row>
    <row r="63" customFormat="false" ht="27.75" hidden="false" customHeight="true" outlineLevel="0" collapsed="false">
      <c r="A63" s="3" t="s">
        <v>193</v>
      </c>
      <c r="B63" s="36" t="s">
        <v>194</v>
      </c>
      <c r="C63" s="36"/>
      <c r="D63" s="36"/>
      <c r="E63" s="36"/>
      <c r="F63" s="36"/>
      <c r="G63" s="36"/>
    </row>
  </sheetData>
  <mergeCells count="13">
    <mergeCell ref="A1:G1"/>
    <mergeCell ref="A3:G6"/>
    <mergeCell ref="A8:G8"/>
    <mergeCell ref="A14:G14"/>
    <mergeCell ref="A15:G16"/>
    <mergeCell ref="A24:G24"/>
    <mergeCell ref="A32:G32"/>
    <mergeCell ref="A48:G48"/>
    <mergeCell ref="A59:G59"/>
    <mergeCell ref="B60:G60"/>
    <mergeCell ref="B61:G61"/>
    <mergeCell ref="B62:G62"/>
    <mergeCell ref="B63:G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4"/>
    <col collapsed="false" customWidth="true" hidden="false" outlineLevel="0" max="4" min="4" style="1" width="78"/>
  </cols>
  <sheetData>
    <row r="1" customFormat="false" ht="17.25" hidden="false" customHeight="true" outlineLevel="0" collapsed="false">
      <c r="A1" s="2" t="s">
        <v>195</v>
      </c>
      <c r="B1" s="2"/>
      <c r="C1" s="2"/>
      <c r="D1" s="2"/>
    </row>
    <row r="3" customFormat="false" ht="15" hidden="false" customHeight="true" outlineLevel="0" collapsed="false">
      <c r="A3" s="37" t="s">
        <v>196</v>
      </c>
      <c r="B3" s="37"/>
      <c r="C3" s="37"/>
      <c r="D3" s="37"/>
    </row>
    <row r="5" customFormat="false" ht="15" hidden="false" customHeight="true" outlineLevel="0" collapsed="false">
      <c r="A5" s="7" t="s">
        <v>197</v>
      </c>
      <c r="B5" s="7"/>
      <c r="C5" s="7"/>
      <c r="D5" s="7"/>
    </row>
    <row r="6" customFormat="false" ht="15" hidden="false" customHeight="true" outlineLevel="0" collapsed="false">
      <c r="A6" s="5" t="s">
        <v>198</v>
      </c>
      <c r="B6" s="38" t="n">
        <v>0.006</v>
      </c>
      <c r="C6" s="9" t="s">
        <v>199</v>
      </c>
      <c r="D6" s="9" t="s">
        <v>200</v>
      </c>
    </row>
    <row r="7" customFormat="false" ht="15" hidden="false" customHeight="true" outlineLevel="0" collapsed="false">
      <c r="A7" s="5" t="s">
        <v>201</v>
      </c>
      <c r="B7" s="38" t="n">
        <v>0.003</v>
      </c>
      <c r="C7" s="9" t="s">
        <v>199</v>
      </c>
      <c r="D7" s="9" t="s">
        <v>200</v>
      </c>
    </row>
    <row r="8" customFormat="false" ht="15" hidden="false" customHeight="true" outlineLevel="0" collapsed="false">
      <c r="A8" s="5" t="s">
        <v>202</v>
      </c>
      <c r="B8" s="22" t="n">
        <v>2</v>
      </c>
      <c r="C8" s="9" t="s">
        <v>203</v>
      </c>
      <c r="D8" s="9" t="s">
        <v>204</v>
      </c>
    </row>
    <row r="9" customFormat="false" ht="15" hidden="false" customHeight="true" outlineLevel="0" collapsed="false">
      <c r="A9" s="5" t="s">
        <v>205</v>
      </c>
      <c r="B9" s="22" t="n">
        <v>12</v>
      </c>
      <c r="C9" s="9" t="s">
        <v>203</v>
      </c>
      <c r="D9" s="9" t="s">
        <v>206</v>
      </c>
    </row>
    <row r="10" customFormat="false" ht="15" hidden="false" customHeight="true" outlineLevel="0" collapsed="false">
      <c r="A10" s="5" t="s">
        <v>207</v>
      </c>
      <c r="B10" s="22" t="n">
        <v>0.2</v>
      </c>
      <c r="C10" s="9" t="s">
        <v>203</v>
      </c>
      <c r="D10" s="9" t="s">
        <v>208</v>
      </c>
    </row>
    <row r="11" customFormat="false" ht="15" hidden="false" customHeight="true" outlineLevel="0" collapsed="false">
      <c r="A11" s="5" t="s">
        <v>209</v>
      </c>
      <c r="B11" s="22" t="n">
        <v>1.2</v>
      </c>
      <c r="C11" s="9" t="s">
        <v>203</v>
      </c>
      <c r="D11" s="9" t="s">
        <v>208</v>
      </c>
    </row>
    <row r="12" customFormat="false" ht="15" hidden="false" customHeight="true" outlineLevel="0" collapsed="false">
      <c r="A12" s="5" t="s">
        <v>210</v>
      </c>
      <c r="B12" s="20" t="n">
        <v>0.7</v>
      </c>
      <c r="C12" s="9" t="s">
        <v>211</v>
      </c>
      <c r="D12" s="9" t="s">
        <v>212</v>
      </c>
    </row>
    <row r="13" customFormat="false" ht="15" hidden="false" customHeight="true" outlineLevel="0" collapsed="false">
      <c r="A13" s="5" t="s">
        <v>213</v>
      </c>
      <c r="B13" s="13" t="n">
        <v>8000</v>
      </c>
      <c r="C13" s="9" t="s">
        <v>214</v>
      </c>
      <c r="D13" s="9" t="s">
        <v>215</v>
      </c>
    </row>
    <row r="15" customFormat="false" ht="15" hidden="false" customHeight="true" outlineLevel="0" collapsed="false">
      <c r="A15" s="7" t="s">
        <v>216</v>
      </c>
      <c r="B15" s="7"/>
      <c r="C15" s="7"/>
      <c r="D15" s="7"/>
    </row>
    <row r="16" customFormat="false" ht="15" hidden="false" customHeight="true" outlineLevel="0" collapsed="false">
      <c r="A16" s="5" t="s">
        <v>217</v>
      </c>
      <c r="B16" s="39" t="n">
        <f aca="false">B6*(Assumptions!B31/60)</f>
        <v>0.0005</v>
      </c>
      <c r="C16" s="9" t="s">
        <v>40</v>
      </c>
      <c r="D16" s="9" t="s">
        <v>218</v>
      </c>
    </row>
    <row r="17" customFormat="false" ht="15" hidden="false" customHeight="true" outlineLevel="0" collapsed="false">
      <c r="A17" s="5" t="s">
        <v>219</v>
      </c>
      <c r="B17" s="40" t="n">
        <v>600</v>
      </c>
      <c r="C17" s="9" t="s">
        <v>220</v>
      </c>
      <c r="D17" s="9" t="s">
        <v>221</v>
      </c>
    </row>
    <row r="18" customFormat="false" ht="15" hidden="false" customHeight="true" outlineLevel="0" collapsed="false">
      <c r="A18" s="5" t="s">
        <v>222</v>
      </c>
      <c r="B18" s="40" t="n">
        <v>700</v>
      </c>
      <c r="C18" s="9" t="s">
        <v>220</v>
      </c>
      <c r="D18" s="9" t="s">
        <v>223</v>
      </c>
    </row>
    <row r="19" customFormat="false" ht="15" hidden="false" customHeight="true" outlineLevel="0" collapsed="false">
      <c r="A19" s="5" t="s">
        <v>224</v>
      </c>
      <c r="B19" s="39" t="n">
        <f aca="false">(B17/1000000*B8)+(B18/1000000*B9)</f>
        <v>0.0096</v>
      </c>
      <c r="C19" s="9" t="s">
        <v>40</v>
      </c>
      <c r="D19" s="9"/>
    </row>
    <row r="20" customFormat="false" ht="15" hidden="false" customHeight="true" outlineLevel="0" collapsed="false">
      <c r="A20" s="3" t="s">
        <v>225</v>
      </c>
      <c r="B20" s="41" t="n">
        <f aca="false">B16+B19</f>
        <v>0.0101</v>
      </c>
      <c r="C20" s="9" t="s">
        <v>40</v>
      </c>
      <c r="D20" s="9"/>
    </row>
    <row r="22" customFormat="false" ht="15" hidden="false" customHeight="true" outlineLevel="0" collapsed="false">
      <c r="A22" s="7" t="s">
        <v>226</v>
      </c>
      <c r="B22" s="7"/>
      <c r="C22" s="7"/>
      <c r="D22" s="7"/>
    </row>
    <row r="23" customFormat="false" ht="15" hidden="false" customHeight="true" outlineLevel="0" collapsed="false">
      <c r="A23" s="5" t="s">
        <v>227</v>
      </c>
      <c r="B23" s="39" t="n">
        <f aca="false">IFERROR(B12/B13,0)</f>
        <v>8.75E-005</v>
      </c>
      <c r="C23" s="9" t="s">
        <v>40</v>
      </c>
      <c r="D23" s="9" t="s">
        <v>228</v>
      </c>
    </row>
    <row r="24" customFormat="false" ht="15" hidden="false" customHeight="true" outlineLevel="0" collapsed="false">
      <c r="A24" s="5" t="s">
        <v>229</v>
      </c>
      <c r="B24" s="40" t="n">
        <v>350</v>
      </c>
      <c r="C24" s="9" t="s">
        <v>220</v>
      </c>
      <c r="D24" s="9" t="s">
        <v>230</v>
      </c>
    </row>
    <row r="25" customFormat="false" ht="15" hidden="false" customHeight="true" outlineLevel="0" collapsed="false">
      <c r="A25" s="5" t="s">
        <v>231</v>
      </c>
      <c r="B25" s="40" t="n">
        <v>180</v>
      </c>
      <c r="C25" s="9" t="s">
        <v>220</v>
      </c>
      <c r="D25" s="9" t="s">
        <v>232</v>
      </c>
    </row>
    <row r="26" customFormat="false" ht="15" hidden="false" customHeight="true" outlineLevel="0" collapsed="false">
      <c r="A26" s="5" t="s">
        <v>233</v>
      </c>
      <c r="B26" s="39" t="n">
        <f aca="false">(B24/1000000*B10)+(B25/1000000*B11)</f>
        <v>0.000286</v>
      </c>
      <c r="C26" s="9" t="s">
        <v>40</v>
      </c>
      <c r="D26" s="9" t="s">
        <v>234</v>
      </c>
    </row>
    <row r="27" customFormat="false" ht="15" hidden="false" customHeight="true" outlineLevel="0" collapsed="false">
      <c r="A27" s="3" t="s">
        <v>235</v>
      </c>
      <c r="B27" s="42" t="n">
        <f aca="false">B23+B26</f>
        <v>0.0003735</v>
      </c>
      <c r="C27" s="9" t="s">
        <v>40</v>
      </c>
      <c r="D27" s="9"/>
    </row>
    <row r="28" customFormat="false" ht="15" hidden="false" customHeight="true" outlineLevel="0" collapsed="false">
      <c r="A28" s="3" t="s">
        <v>236</v>
      </c>
      <c r="B28" s="31" t="n">
        <f aca="false">IFERROR(B20/B27,0)</f>
        <v>27.041499330656</v>
      </c>
      <c r="C28" s="9" t="s">
        <v>158</v>
      </c>
      <c r="D28" s="9"/>
    </row>
    <row r="30" customFormat="false" ht="15" hidden="false" customHeight="true" outlineLevel="0" collapsed="false">
      <c r="A30" s="7" t="s">
        <v>237</v>
      </c>
      <c r="B30" s="7"/>
      <c r="C30" s="7"/>
      <c r="D30" s="7"/>
    </row>
    <row r="31" customFormat="false" ht="15" hidden="false" customHeight="true" outlineLevel="0" collapsed="false">
      <c r="A31" s="5" t="s">
        <v>238</v>
      </c>
      <c r="B31" s="40" t="n">
        <v>1000</v>
      </c>
      <c r="C31" s="9" t="s">
        <v>220</v>
      </c>
      <c r="D31" s="9" t="s">
        <v>239</v>
      </c>
    </row>
    <row r="32" customFormat="false" ht="15" hidden="false" customHeight="true" outlineLevel="0" collapsed="false">
      <c r="A32" s="5" t="s">
        <v>240</v>
      </c>
      <c r="B32" s="40" t="n">
        <v>400</v>
      </c>
      <c r="C32" s="9" t="s">
        <v>220</v>
      </c>
      <c r="D32" s="9" t="s">
        <v>241</v>
      </c>
    </row>
    <row r="33" customFormat="false" ht="15" hidden="false" customHeight="true" outlineLevel="0" collapsed="false">
      <c r="A33" s="5" t="s">
        <v>242</v>
      </c>
      <c r="B33" s="39" t="n">
        <f aca="false">(B31/1000000*B8)+(B32/1000000*B9)</f>
        <v>0.0068</v>
      </c>
      <c r="C33" s="9" t="s">
        <v>40</v>
      </c>
      <c r="D33" s="9"/>
    </row>
    <row r="34" customFormat="false" ht="15" hidden="false" customHeight="true" outlineLevel="0" collapsed="false">
      <c r="A34" s="5" t="s">
        <v>243</v>
      </c>
      <c r="B34" s="39" t="n">
        <f aca="false">(B31/1000000*B10)+(B32/1000000*B11)</f>
        <v>0.00068</v>
      </c>
      <c r="C34" s="9" t="s">
        <v>40</v>
      </c>
      <c r="D34" s="9" t="s">
        <v>244</v>
      </c>
    </row>
    <row r="36" customFormat="false" ht="15" hidden="false" customHeight="true" outlineLevel="0" collapsed="false">
      <c r="A36" s="7" t="s">
        <v>245</v>
      </c>
      <c r="B36" s="7"/>
      <c r="C36" s="7"/>
      <c r="D36" s="7"/>
    </row>
    <row r="37" customFormat="false" ht="15" hidden="false" customHeight="true" outlineLevel="0" collapsed="false">
      <c r="A37" s="5" t="s">
        <v>246</v>
      </c>
      <c r="B37" s="23" t="n">
        <f aca="false">(Assumptions!B27*B20+Assumptions!B30*B33)*12</f>
        <v>2.1072</v>
      </c>
      <c r="C37" s="9" t="s">
        <v>180</v>
      </c>
      <c r="D37" s="9"/>
    </row>
    <row r="38" customFormat="false" ht="15" hidden="false" customHeight="true" outlineLevel="0" collapsed="false">
      <c r="A38" s="5" t="s">
        <v>247</v>
      </c>
      <c r="B38" s="23" t="n">
        <f aca="false">(Assumptions!B27*B27+Assumptions!B30*B34)*12</f>
        <v>0.119064</v>
      </c>
      <c r="C38" s="9" t="s">
        <v>180</v>
      </c>
      <c r="D38" s="9"/>
    </row>
    <row r="39" customFormat="false" ht="15" hidden="false" customHeight="true" outlineLevel="0" collapsed="false">
      <c r="A39" s="5" t="s">
        <v>248</v>
      </c>
      <c r="B39" s="23" t="n">
        <f aca="false">(Assumptions!B28*B20+Assumptions!B29*B33)*12</f>
        <v>8.718</v>
      </c>
      <c r="C39" s="9" t="s">
        <v>180</v>
      </c>
      <c r="D39" s="9"/>
    </row>
    <row r="40" customFormat="false" ht="15" hidden="false" customHeight="true" outlineLevel="0" collapsed="false">
      <c r="A40" s="5" t="s">
        <v>249</v>
      </c>
      <c r="B40" s="33" t="n">
        <f aca="false">(Assumptions!B28*B27+Assumptions!B29*B34)*12</f>
        <v>0.52809</v>
      </c>
      <c r="C40" s="9" t="s">
        <v>180</v>
      </c>
      <c r="D40" s="9"/>
    </row>
    <row r="42" customFormat="false" ht="15" hidden="false" customHeight="true" outlineLevel="0" collapsed="false">
      <c r="A42" s="3" t="s">
        <v>250</v>
      </c>
      <c r="B42" s="33" t="n">
        <f aca="false">B38*(1-Assumptions!B20)+B40*Assumptions!B20</f>
        <v>0.1310280105</v>
      </c>
      <c r="D42" s="9" t="s">
        <v>251</v>
      </c>
    </row>
    <row r="43" customFormat="false" ht="15" hidden="false" customHeight="true" outlineLevel="0" collapsed="false">
      <c r="A43" s="3" t="s">
        <v>252</v>
      </c>
      <c r="B43" s="35" t="n">
        <f aca="false">B37*(1-Assumptions!B20)+B39*Assumptions!B20</f>
        <v>2.3005659</v>
      </c>
      <c r="D43" s="9" t="s">
        <v>253</v>
      </c>
    </row>
    <row r="46" customFormat="false" ht="15" hidden="false" customHeight="true" outlineLevel="0" collapsed="false">
      <c r="A46" s="7" t="s">
        <v>254</v>
      </c>
      <c r="B46" s="7"/>
      <c r="C46" s="7"/>
      <c r="D46" s="7"/>
    </row>
    <row r="47" customFormat="false" ht="15" hidden="false" customHeight="true" outlineLevel="0" collapsed="false">
      <c r="A47" s="5" t="s">
        <v>255</v>
      </c>
      <c r="B47" s="23" t="n">
        <f aca="false">120000/5000</f>
        <v>24</v>
      </c>
      <c r="D47" s="9" t="s">
        <v>256</v>
      </c>
    </row>
    <row r="48" customFormat="false" ht="15" hidden="false" customHeight="true" outlineLevel="0" collapsed="false">
      <c r="A48" s="5" t="s">
        <v>257</v>
      </c>
      <c r="B48" s="23" t="n">
        <f aca="false">540000/25000</f>
        <v>21.6</v>
      </c>
      <c r="D48" s="9" t="s">
        <v>258</v>
      </c>
    </row>
    <row r="49" customFormat="false" ht="15" hidden="false" customHeight="true" outlineLevel="0" collapsed="false">
      <c r="A49" s="5" t="s">
        <v>259</v>
      </c>
      <c r="B49" s="23" t="n">
        <f aca="false">B43</f>
        <v>2.3005659</v>
      </c>
      <c r="D49" s="9" t="s">
        <v>260</v>
      </c>
    </row>
    <row r="50" customFormat="false" ht="15" hidden="false" customHeight="true" outlineLevel="0" collapsed="false">
      <c r="A50" s="3" t="s">
        <v>261</v>
      </c>
      <c r="B50" s="34" t="n">
        <f aca="false">IFERROR((120000/5000)/B43,0)</f>
        <v>10.4322158300269</v>
      </c>
      <c r="D50" s="9" t="s">
        <v>262</v>
      </c>
    </row>
    <row r="51" customFormat="false" ht="15" hidden="false" customHeight="true" outlineLevel="0" collapsed="false">
      <c r="A51" s="3" t="s">
        <v>263</v>
      </c>
      <c r="B51" s="36" t="s">
        <v>264</v>
      </c>
      <c r="C51" s="36"/>
      <c r="D51" s="36"/>
    </row>
    <row r="52" customFormat="false" ht="15" hidden="false" customHeight="true" outlineLevel="0" collapsed="false">
      <c r="B52" s="36"/>
      <c r="C52" s="36"/>
      <c r="D52" s="36"/>
    </row>
    <row r="53" customFormat="false" ht="15" hidden="false" customHeight="true" outlineLevel="0" collapsed="false">
      <c r="B53" s="36"/>
      <c r="C53" s="36"/>
      <c r="D53" s="36"/>
    </row>
    <row r="54" customFormat="false" ht="15" hidden="false" customHeight="true" outlineLevel="0" collapsed="false">
      <c r="B54" s="36"/>
      <c r="C54" s="36"/>
      <c r="D54" s="36"/>
    </row>
  </sheetData>
  <mergeCells count="9">
    <mergeCell ref="A1:D1"/>
    <mergeCell ref="A3:D3"/>
    <mergeCell ref="A5:D5"/>
    <mergeCell ref="A15:D15"/>
    <mergeCell ref="A22:D22"/>
    <mergeCell ref="A30:D30"/>
    <mergeCell ref="A36:D36"/>
    <mergeCell ref="A46:D46"/>
    <mergeCell ref="B51:D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5" min="5" style="1" width="66"/>
  </cols>
  <sheetData>
    <row r="1" customFormat="false" ht="17.25" hidden="false" customHeight="true" outlineLevel="0" collapsed="false">
      <c r="A1" s="2" t="s">
        <v>265</v>
      </c>
      <c r="B1" s="2"/>
      <c r="C1" s="2"/>
      <c r="D1" s="2"/>
      <c r="E1" s="2"/>
    </row>
    <row r="3" customFormat="false" ht="15" hidden="false" customHeight="true" outlineLevel="0" collapsed="false">
      <c r="A3" s="21" t="s">
        <v>266</v>
      </c>
      <c r="B3" s="21"/>
      <c r="C3" s="21"/>
      <c r="D3" s="21"/>
      <c r="E3" s="21"/>
    </row>
    <row r="4" customFormat="false" ht="15" hidden="false" customHeight="true" outlineLevel="0" collapsed="false">
      <c r="A4" s="21"/>
      <c r="B4" s="21"/>
      <c r="C4" s="21"/>
      <c r="D4" s="21"/>
      <c r="E4" s="21"/>
    </row>
    <row r="6" customFormat="false" ht="30" hidden="false" customHeight="true" outlineLevel="0" collapsed="false">
      <c r="A6" s="6" t="s">
        <v>267</v>
      </c>
      <c r="B6" s="6" t="s">
        <v>268</v>
      </c>
      <c r="C6" s="6" t="s">
        <v>269</v>
      </c>
      <c r="D6" s="6" t="s">
        <v>270</v>
      </c>
      <c r="E6" s="6" t="s">
        <v>115</v>
      </c>
    </row>
    <row r="7" customFormat="false" ht="15" hidden="false" customHeight="true" outlineLevel="0" collapsed="false">
      <c r="A7" s="3" t="s">
        <v>271</v>
      </c>
      <c r="B7" s="43" t="n">
        <f aca="false">Assumptions!B15</f>
        <v>2500</v>
      </c>
      <c r="C7" s="43" t="n">
        <f aca="false">Assumptions!B16</f>
        <v>15000</v>
      </c>
      <c r="D7" s="43" t="n">
        <f aca="false">Assumptions!B17</f>
        <v>55000</v>
      </c>
      <c r="E7" s="9" t="s">
        <v>272</v>
      </c>
    </row>
    <row r="8" customFormat="false" ht="15" hidden="false" customHeight="true" outlineLevel="0" collapsed="false">
      <c r="A8" s="5" t="s">
        <v>273</v>
      </c>
      <c r="B8" s="43" t="n">
        <f aca="false">B7/2</f>
        <v>1250</v>
      </c>
      <c r="C8" s="43" t="n">
        <f aca="false">(B7+C7)/2</f>
        <v>8750</v>
      </c>
      <c r="D8" s="43" t="n">
        <f aca="false">(C7+D7)/2</f>
        <v>35000</v>
      </c>
      <c r="E8" s="9" t="s">
        <v>274</v>
      </c>
    </row>
    <row r="9" customFormat="false" ht="15" hidden="false" customHeight="true" outlineLevel="0" collapsed="false">
      <c r="A9" s="3" t="s">
        <v>275</v>
      </c>
      <c r="B9" s="43" t="n">
        <f aca="false">B7*Assumptions!$B$20</f>
        <v>73.125</v>
      </c>
      <c r="C9" s="43" t="n">
        <f aca="false">C7*Assumptions!$B$20</f>
        <v>438.75</v>
      </c>
      <c r="D9" s="43" t="n">
        <f aca="false">D7*Assumptions!$B$20</f>
        <v>1608.75</v>
      </c>
      <c r="E9" s="9" t="s">
        <v>276</v>
      </c>
    </row>
    <row r="10" customFormat="false" ht="15" hidden="false" customHeight="true" outlineLevel="0" collapsed="false">
      <c r="A10" s="5" t="s">
        <v>277</v>
      </c>
      <c r="B10" s="23" t="n">
        <f aca="false">'Price Elasticity'!$B$53*12*'Price Elasticity'!$C$22*(1-Assumptions!$B$21*Assumptions!$B$22)*(1-Assumptions!$B$39)</f>
        <v>57.6946476</v>
      </c>
      <c r="C10" s="23" t="n">
        <f aca="false">'Price Elasticity'!$B$53*12*'Price Elasticity'!$C$22*(1-Assumptions!$B$21*Assumptions!$B$22)*(1-Assumptions!$B$39)</f>
        <v>57.6946476</v>
      </c>
      <c r="D10" s="23" t="n">
        <f aca="false">'Price Elasticity'!$B$53*12*'Price Elasticity'!$C$22*(1-Assumptions!$B$21*Assumptions!$B$22)*(1-Assumptions!$B$39)</f>
        <v>57.6946476</v>
      </c>
      <c r="E10" s="9" t="s">
        <v>278</v>
      </c>
    </row>
    <row r="11" customFormat="false" ht="15" hidden="false" customHeight="true" outlineLevel="0" collapsed="false">
      <c r="A11" s="3" t="s">
        <v>279</v>
      </c>
      <c r="B11" s="44" t="n">
        <f aca="false">B9*B10</f>
        <v>4218.92110575</v>
      </c>
      <c r="C11" s="44" t="n">
        <f aca="false">C9*C10</f>
        <v>25313.5266345</v>
      </c>
      <c r="D11" s="44" t="n">
        <f aca="false">D9*D10</f>
        <v>92816.2643265</v>
      </c>
      <c r="E11" s="9"/>
    </row>
    <row r="13" customFormat="false" ht="15" hidden="false" customHeight="true" outlineLevel="0" collapsed="false">
      <c r="A13" s="7" t="s">
        <v>280</v>
      </c>
      <c r="B13" s="7"/>
      <c r="C13" s="7"/>
      <c r="D13" s="7"/>
      <c r="E13" s="7"/>
    </row>
    <row r="14" customFormat="false" ht="15" hidden="false" customHeight="true" outlineLevel="0" collapsed="false">
      <c r="A14" s="5" t="s">
        <v>281</v>
      </c>
      <c r="B14" s="11" t="n">
        <f aca="false">B8*'Cost to Serve'!$B$42</f>
        <v>163.785013125</v>
      </c>
      <c r="C14" s="11" t="n">
        <f aca="false">C8*'Cost to Serve'!$B$42</f>
        <v>1146.495091875</v>
      </c>
      <c r="D14" s="11" t="n">
        <f aca="false">D8*'Cost to Serve'!$B$42</f>
        <v>4585.9803675</v>
      </c>
      <c r="E14" s="9" t="s">
        <v>282</v>
      </c>
    </row>
    <row r="15" customFormat="false" ht="15" hidden="false" customHeight="true" outlineLevel="0" collapsed="false">
      <c r="A15" s="5" t="s">
        <v>283</v>
      </c>
      <c r="B15" s="45" t="n">
        <f aca="false">B8*'Cost to Serve'!$B$43</f>
        <v>2875.707375</v>
      </c>
      <c r="C15" s="45" t="n">
        <f aca="false">C8*'Cost to Serve'!$B$43</f>
        <v>20129.951625</v>
      </c>
      <c r="D15" s="45" t="n">
        <f aca="false">D8*'Cost to Serve'!$B$43</f>
        <v>80519.8065</v>
      </c>
      <c r="E15" s="9" t="s">
        <v>284</v>
      </c>
    </row>
    <row r="16" customFormat="false" ht="15" hidden="false" customHeight="true" outlineLevel="0" collapsed="false">
      <c r="A16" s="5" t="s">
        <v>285</v>
      </c>
      <c r="B16" s="11" t="n">
        <f aca="false">(Assumptions!$B$40+Assumptions!$B$41)*12</f>
        <v>7680</v>
      </c>
      <c r="C16" s="11" t="n">
        <f aca="false">(Assumptions!$B$40+Assumptions!$B$41)*12</f>
        <v>7680</v>
      </c>
      <c r="D16" s="11" t="n">
        <f aca="false">(Assumptions!$B$40+Assumptions!$B$41)*12</f>
        <v>7680</v>
      </c>
      <c r="E16" s="9" t="s">
        <v>286</v>
      </c>
    </row>
    <row r="17" customFormat="false" ht="15" hidden="false" customHeight="true" outlineLevel="0" collapsed="false">
      <c r="A17" s="5" t="s">
        <v>287</v>
      </c>
      <c r="B17" s="11" t="n">
        <f aca="false">B7*Assumptions!$B$42</f>
        <v>30000</v>
      </c>
      <c r="C17" s="11" t="n">
        <f aca="false">(C7-B7)*Assumptions!$B$42</f>
        <v>150000</v>
      </c>
      <c r="D17" s="11" t="n">
        <f aca="false">(D7-C7)*Assumptions!$B$42</f>
        <v>480000</v>
      </c>
      <c r="E17" s="9" t="s">
        <v>288</v>
      </c>
    </row>
    <row r="18" customFormat="false" ht="15" hidden="false" customHeight="true" outlineLevel="0" collapsed="false">
      <c r="A18" s="5" t="s">
        <v>289</v>
      </c>
      <c r="B18" s="11" t="n">
        <f aca="false">Assumptions!$B$43*12</f>
        <v>0</v>
      </c>
      <c r="C18" s="11" t="n">
        <f aca="false">Assumptions!$B$43*12</f>
        <v>0</v>
      </c>
      <c r="D18" s="11" t="n">
        <f aca="false">Assumptions!$B$43*12</f>
        <v>0</v>
      </c>
      <c r="E18" s="9" t="s">
        <v>290</v>
      </c>
    </row>
    <row r="19" customFormat="false" ht="15" hidden="false" customHeight="true" outlineLevel="0" collapsed="false">
      <c r="A19" s="3" t="s">
        <v>291</v>
      </c>
      <c r="B19" s="11" t="n">
        <f aca="false">SUM(B14:B14)+B16+B17+B18</f>
        <v>37843.785013125</v>
      </c>
      <c r="C19" s="11" t="n">
        <f aca="false">C14+C16+C17+C18</f>
        <v>158826.495091875</v>
      </c>
      <c r="D19" s="11" t="n">
        <f aca="false">D14+D16+D17+D18</f>
        <v>492265.9803675</v>
      </c>
      <c r="E19" s="9"/>
    </row>
    <row r="21" customFormat="false" ht="15" hidden="false" customHeight="true" outlineLevel="0" collapsed="false">
      <c r="A21" s="3" t="s">
        <v>292</v>
      </c>
      <c r="B21" s="44" t="n">
        <f aca="false">B11-B14</f>
        <v>4055.136092625</v>
      </c>
      <c r="C21" s="44" t="n">
        <f aca="false">C11-C14</f>
        <v>24167.031542625</v>
      </c>
      <c r="D21" s="44" t="n">
        <f aca="false">D11-D14</f>
        <v>88230.283959</v>
      </c>
      <c r="E21" s="9"/>
    </row>
    <row r="22" customFormat="false" ht="15" hidden="false" customHeight="true" outlineLevel="0" collapsed="false">
      <c r="A22" s="3" t="s">
        <v>293</v>
      </c>
      <c r="B22" s="18" t="n">
        <f aca="false">IFERROR(B21/B11,0)</f>
        <v>0.961178460317313</v>
      </c>
      <c r="C22" s="18" t="n">
        <f aca="false">IFERROR(C21/C11,0)</f>
        <v>0.954708203703532</v>
      </c>
      <c r="D22" s="18" t="n">
        <f aca="false">IFERROR(D21/D11,0)</f>
        <v>0.95059076767658</v>
      </c>
      <c r="E22" s="9"/>
    </row>
    <row r="23" customFormat="false" ht="15" hidden="false" customHeight="true" outlineLevel="0" collapsed="false">
      <c r="A23" s="3" t="s">
        <v>294</v>
      </c>
      <c r="B23" s="11" t="n">
        <f aca="false">B11-B19</f>
        <v>-33624.863907375</v>
      </c>
      <c r="C23" s="11" t="n">
        <f aca="false">C11-C19</f>
        <v>-133512.968457375</v>
      </c>
      <c r="D23" s="11" t="n">
        <f aca="false">D11-D19</f>
        <v>-399449.716041</v>
      </c>
      <c r="E23" s="9"/>
    </row>
    <row r="25" customFormat="false" ht="15" hidden="false" customHeight="true" outlineLevel="0" collapsed="false">
      <c r="A25" s="7" t="s">
        <v>295</v>
      </c>
      <c r="B25" s="7"/>
      <c r="C25" s="7"/>
      <c r="D25" s="7"/>
      <c r="E25" s="7"/>
    </row>
    <row r="26" customFormat="false" ht="15" hidden="false" customHeight="true" outlineLevel="0" collapsed="false">
      <c r="A26" s="5" t="s">
        <v>296</v>
      </c>
      <c r="B26" s="23" t="n">
        <f aca="false">B10/12*Assumptions!$B$24</f>
        <v>87.4161327272727</v>
      </c>
      <c r="C26" s="23" t="n">
        <f aca="false">B10/12*Assumptions!$B$24</f>
        <v>87.4161327272727</v>
      </c>
      <c r="D26" s="23" t="n">
        <f aca="false">B10/12*Assumptions!$B$24</f>
        <v>87.4161327272727</v>
      </c>
      <c r="E26" s="9" t="s">
        <v>297</v>
      </c>
    </row>
    <row r="27" customFormat="false" ht="15" hidden="false" customHeight="true" outlineLevel="0" collapsed="false">
      <c r="A27" s="5" t="s">
        <v>165</v>
      </c>
      <c r="B27" s="23" t="n">
        <f aca="false">IFERROR(Assumptions!$B$42/Assumptions!$B$20,0)</f>
        <v>410.25641025641</v>
      </c>
      <c r="C27" s="23" t="n">
        <f aca="false">IFERROR(Assumptions!$B$42/Assumptions!$B$20,0)</f>
        <v>410.25641025641</v>
      </c>
      <c r="D27" s="23" t="n">
        <f aca="false">IFERROR(Assumptions!$B$42/Assumptions!$B$20,0)</f>
        <v>410.25641025641</v>
      </c>
      <c r="E27" s="9" t="s">
        <v>298</v>
      </c>
    </row>
    <row r="28" customFormat="false" ht="15" hidden="false" customHeight="true" outlineLevel="0" collapsed="false">
      <c r="A28" s="3" t="s">
        <v>166</v>
      </c>
      <c r="B28" s="46" t="n">
        <f aca="false">IFERROR(B26/B27,0)</f>
        <v>0.213076823522727</v>
      </c>
      <c r="C28" s="46" t="n">
        <f aca="false">IFERROR(B26/B27,0)</f>
        <v>0.213076823522727</v>
      </c>
      <c r="D28" s="46" t="n">
        <f aca="false">IFERROR(B26/B27,0)</f>
        <v>0.213076823522727</v>
      </c>
      <c r="E28" s="9" t="s">
        <v>299</v>
      </c>
    </row>
    <row r="29" customFormat="false" ht="15" hidden="false" customHeight="true" outlineLevel="0" collapsed="false">
      <c r="A29" s="3" t="s">
        <v>300</v>
      </c>
      <c r="B29" s="23" t="n">
        <f aca="false">IFERROR(B21/B8,0)</f>
        <v>3.2441088741</v>
      </c>
      <c r="C29" s="23" t="n">
        <f aca="false">IFERROR(C21/C8,0)</f>
        <v>2.76194646201429</v>
      </c>
      <c r="D29" s="23" t="n">
        <f aca="false">IFERROR(D21/D8,0)</f>
        <v>2.52086525597143</v>
      </c>
      <c r="E29" s="9" t="s">
        <v>301</v>
      </c>
    </row>
  </sheetData>
  <mergeCells count="4">
    <mergeCell ref="A1:E1"/>
    <mergeCell ref="A3:E4"/>
    <mergeCell ref="A13:E13"/>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5" min="5" style="1" width="66"/>
  </cols>
  <sheetData>
    <row r="1" customFormat="false" ht="17.25" hidden="false" customHeight="true" outlineLevel="0" collapsed="false">
      <c r="A1" s="2" t="s">
        <v>302</v>
      </c>
      <c r="B1" s="2"/>
      <c r="C1" s="2"/>
      <c r="D1" s="2"/>
      <c r="E1" s="2"/>
    </row>
    <row r="3" customFormat="false" ht="15" hidden="false" customHeight="true" outlineLevel="0" collapsed="false">
      <c r="A3" s="21" t="s">
        <v>303</v>
      </c>
      <c r="B3" s="21"/>
      <c r="C3" s="21"/>
      <c r="D3" s="21"/>
      <c r="E3" s="21"/>
    </row>
    <row r="4" customFormat="false" ht="15" hidden="false" customHeight="true" outlineLevel="0" collapsed="false">
      <c r="A4" s="21"/>
      <c r="B4" s="21"/>
      <c r="C4" s="21"/>
      <c r="D4" s="21"/>
      <c r="E4" s="21"/>
    </row>
    <row r="6" customFormat="false" ht="30" hidden="false" customHeight="true" outlineLevel="0" collapsed="false">
      <c r="A6" s="6" t="s">
        <v>267</v>
      </c>
      <c r="B6" s="6" t="s">
        <v>268</v>
      </c>
      <c r="C6" s="6" t="s">
        <v>269</v>
      </c>
      <c r="D6" s="6" t="s">
        <v>270</v>
      </c>
      <c r="E6" s="6" t="s">
        <v>115</v>
      </c>
    </row>
    <row r="7" customFormat="false" ht="15" hidden="false" customHeight="true" outlineLevel="0" collapsed="false">
      <c r="A7" s="3" t="s">
        <v>304</v>
      </c>
      <c r="B7" s="40" t="n">
        <v>3</v>
      </c>
      <c r="C7" s="40" t="n">
        <v>12</v>
      </c>
      <c r="D7" s="40" t="n">
        <v>34</v>
      </c>
      <c r="E7" s="9" t="s">
        <v>305</v>
      </c>
    </row>
    <row r="8" customFormat="false" ht="15" hidden="false" customHeight="true" outlineLevel="0" collapsed="false">
      <c r="A8" s="5" t="s">
        <v>306</v>
      </c>
      <c r="B8" s="40" t="n">
        <v>120</v>
      </c>
      <c r="C8" s="40" t="n">
        <v>180</v>
      </c>
      <c r="D8" s="40" t="n">
        <v>240</v>
      </c>
      <c r="E8" s="9" t="s">
        <v>307</v>
      </c>
    </row>
    <row r="9" customFormat="false" ht="15" hidden="false" customHeight="true" outlineLevel="0" collapsed="false">
      <c r="A9" s="3" t="s">
        <v>308</v>
      </c>
      <c r="B9" s="43" t="n">
        <f aca="false">B7*B8</f>
        <v>360</v>
      </c>
      <c r="C9" s="43" t="n">
        <f aca="false">C7*C8</f>
        <v>2160</v>
      </c>
      <c r="D9" s="43" t="n">
        <f aca="false">D7*D8</f>
        <v>8160</v>
      </c>
      <c r="E9" s="9"/>
    </row>
    <row r="10" customFormat="false" ht="15" hidden="false" customHeight="true" outlineLevel="0" collapsed="false">
      <c r="A10" s="3" t="s">
        <v>309</v>
      </c>
      <c r="B10" s="20" t="n">
        <v>36</v>
      </c>
      <c r="C10" s="20" t="n">
        <v>36</v>
      </c>
      <c r="D10" s="20" t="n">
        <v>42</v>
      </c>
      <c r="E10" s="9" t="s">
        <v>310</v>
      </c>
    </row>
    <row r="11" customFormat="false" ht="15" hidden="false" customHeight="true" outlineLevel="0" collapsed="false">
      <c r="A11" s="5" t="s">
        <v>311</v>
      </c>
      <c r="B11" s="14" t="n">
        <v>0.55</v>
      </c>
      <c r="C11" s="14" t="n">
        <v>0.6</v>
      </c>
      <c r="D11" s="14" t="n">
        <v>0.65</v>
      </c>
      <c r="E11" s="9" t="s">
        <v>312</v>
      </c>
    </row>
    <row r="12" customFormat="false" ht="15" hidden="false" customHeight="true" outlineLevel="0" collapsed="false">
      <c r="A12" s="3" t="s">
        <v>279</v>
      </c>
      <c r="B12" s="44" t="n">
        <f aca="false">B9*B10</f>
        <v>12960</v>
      </c>
      <c r="C12" s="44" t="n">
        <f aca="false">C9*C10</f>
        <v>77760</v>
      </c>
      <c r="D12" s="44" t="n">
        <f aca="false">D9*D10</f>
        <v>342720</v>
      </c>
      <c r="E12" s="9"/>
    </row>
    <row r="14" customFormat="false" ht="15" hidden="false" customHeight="true" outlineLevel="0" collapsed="false">
      <c r="A14" s="7" t="s">
        <v>280</v>
      </c>
      <c r="B14" s="7"/>
      <c r="C14" s="7"/>
      <c r="D14" s="7"/>
      <c r="E14" s="7"/>
    </row>
    <row r="15" customFormat="false" ht="15" hidden="false" customHeight="true" outlineLevel="0" collapsed="false">
      <c r="A15" s="5" t="s">
        <v>313</v>
      </c>
      <c r="B15" s="11" t="n">
        <f aca="false">B9*B11*'Cost to Serve'!$B$40</f>
        <v>104.56182</v>
      </c>
      <c r="C15" s="11" t="n">
        <f aca="false">C9*C11*'Cost to Serve'!$B$40</f>
        <v>684.40464</v>
      </c>
      <c r="D15" s="11" t="n">
        <f aca="false">D9*D11*'Cost to Serve'!$B$40</f>
        <v>2800.98936</v>
      </c>
      <c r="E15" s="9" t="s">
        <v>314</v>
      </c>
    </row>
    <row r="16" customFormat="false" ht="15" hidden="false" customHeight="true" outlineLevel="0" collapsed="false">
      <c r="A16" s="5" t="s">
        <v>285</v>
      </c>
      <c r="B16" s="11" t="n">
        <f aca="false">(Assumptions!$B$40+Assumptions!$B$41)*12</f>
        <v>7680</v>
      </c>
      <c r="C16" s="11" t="n">
        <f aca="false">(Assumptions!$B$40+Assumptions!$B$41)*12</f>
        <v>7680</v>
      </c>
      <c r="D16" s="11" t="n">
        <f aca="false">(Assumptions!$B$40+Assumptions!$B$41)*12</f>
        <v>7680</v>
      </c>
      <c r="E16" s="9"/>
    </row>
    <row r="17" customFormat="false" ht="15" hidden="false" customHeight="true" outlineLevel="0" collapsed="false">
      <c r="A17" s="5" t="s">
        <v>315</v>
      </c>
      <c r="B17" s="8" t="n">
        <v>9000</v>
      </c>
      <c r="C17" s="8" t="n">
        <v>42000</v>
      </c>
      <c r="D17" s="8" t="n">
        <v>96000</v>
      </c>
      <c r="E17" s="9" t="s">
        <v>316</v>
      </c>
    </row>
    <row r="18" customFormat="false" ht="15" hidden="false" customHeight="true" outlineLevel="0" collapsed="false">
      <c r="A18" s="5" t="s">
        <v>317</v>
      </c>
      <c r="B18" s="8" t="n">
        <v>24000</v>
      </c>
      <c r="C18" s="8" t="n">
        <v>12000</v>
      </c>
      <c r="D18" s="8" t="n">
        <v>12000</v>
      </c>
      <c r="E18" s="9" t="s">
        <v>318</v>
      </c>
    </row>
    <row r="19" customFormat="false" ht="15" hidden="false" customHeight="true" outlineLevel="0" collapsed="false">
      <c r="A19" s="3" t="s">
        <v>291</v>
      </c>
      <c r="B19" s="11" t="n">
        <f aca="false">B15+B16+B17+B18</f>
        <v>40784.56182</v>
      </c>
      <c r="C19" s="11" t="n">
        <f aca="false">C15+C16+C17+C18</f>
        <v>62364.40464</v>
      </c>
      <c r="D19" s="11" t="n">
        <f aca="false">D15+D16+D17+D18</f>
        <v>118480.98936</v>
      </c>
      <c r="E19" s="9"/>
    </row>
    <row r="21" customFormat="false" ht="15" hidden="false" customHeight="true" outlineLevel="0" collapsed="false">
      <c r="A21" s="3" t="s">
        <v>292</v>
      </c>
      <c r="B21" s="44" t="n">
        <f aca="false">B12-B15</f>
        <v>12855.43818</v>
      </c>
      <c r="C21" s="44" t="n">
        <f aca="false">C12-C15</f>
        <v>77075.59536</v>
      </c>
      <c r="D21" s="44" t="n">
        <f aca="false">D12-D15</f>
        <v>339919.01064</v>
      </c>
      <c r="E21" s="9"/>
    </row>
    <row r="22" customFormat="false" ht="15" hidden="false" customHeight="true" outlineLevel="0" collapsed="false">
      <c r="A22" s="3" t="s">
        <v>293</v>
      </c>
      <c r="B22" s="18" t="n">
        <f aca="false">IFERROR(B21/B12,0)</f>
        <v>0.991931958333333</v>
      </c>
      <c r="C22" s="18" t="n">
        <f aca="false">IFERROR(C21/C12,0)</f>
        <v>0.9911985</v>
      </c>
      <c r="D22" s="18" t="n">
        <f aca="false">IFERROR(D21/D12,0)</f>
        <v>0.991827178571429</v>
      </c>
      <c r="E22" s="9"/>
    </row>
    <row r="23" customFormat="false" ht="15" hidden="false" customHeight="true" outlineLevel="0" collapsed="false">
      <c r="A23" s="3" t="s">
        <v>294</v>
      </c>
      <c r="B23" s="11" t="n">
        <f aca="false">B12-B19</f>
        <v>-27824.56182</v>
      </c>
      <c r="C23" s="11" t="n">
        <f aca="false">C12-C19</f>
        <v>15395.59536</v>
      </c>
      <c r="D23" s="11" t="n">
        <f aca="false">D12-D19</f>
        <v>224239.01064</v>
      </c>
      <c r="E23" s="9"/>
    </row>
    <row r="25" customFormat="false" ht="15" hidden="false" customHeight="true" outlineLevel="0" collapsed="false">
      <c r="A25" s="7" t="s">
        <v>295</v>
      </c>
      <c r="B25" s="7"/>
      <c r="C25" s="7"/>
      <c r="D25" s="7"/>
      <c r="E25" s="7"/>
    </row>
    <row r="26" customFormat="false" ht="15" hidden="false" customHeight="true" outlineLevel="0" collapsed="false">
      <c r="A26" s="3" t="s">
        <v>319</v>
      </c>
      <c r="B26" s="11" t="n">
        <f aca="false">IFERROR(B12/B7,0)</f>
        <v>4320</v>
      </c>
      <c r="C26" s="11" t="n">
        <f aca="false">IFERROR(C12/C7,0)</f>
        <v>6480</v>
      </c>
      <c r="D26" s="11" t="n">
        <f aca="false">IFERROR(D12/D7,0)</f>
        <v>10080</v>
      </c>
      <c r="E26" s="9"/>
    </row>
    <row r="27" customFormat="false" ht="15" hidden="false" customHeight="true" outlineLevel="0" collapsed="false">
      <c r="A27" s="3" t="s">
        <v>320</v>
      </c>
      <c r="B27" s="23" t="n">
        <f aca="false">IFERROR(B21/(B9*B11),0)</f>
        <v>64.9264554545455</v>
      </c>
      <c r="C27" s="23" t="n">
        <f aca="false">IFERROR(C21/(C9*C11),0)</f>
        <v>59.47191</v>
      </c>
      <c r="D27" s="23" t="n">
        <f aca="false">IFERROR(D21/(D9*D11),0)</f>
        <v>64.0872946153846</v>
      </c>
      <c r="E27" s="9"/>
    </row>
  </sheetData>
  <mergeCells count="4">
    <mergeCell ref="A1:E1"/>
    <mergeCell ref="A3:E4"/>
    <mergeCell ref="A14:E14"/>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5" min="5" style="1" width="66"/>
  </cols>
  <sheetData>
    <row r="1" customFormat="false" ht="17.25" hidden="false" customHeight="true" outlineLevel="0" collapsed="false">
      <c r="A1" s="2" t="s">
        <v>321</v>
      </c>
      <c r="B1" s="2"/>
      <c r="C1" s="2"/>
      <c r="D1" s="2"/>
      <c r="E1" s="2"/>
    </row>
    <row r="3" customFormat="false" ht="15" hidden="false" customHeight="true" outlineLevel="0" collapsed="false">
      <c r="A3" s="21" t="s">
        <v>322</v>
      </c>
      <c r="B3" s="21"/>
      <c r="C3" s="21"/>
      <c r="D3" s="21"/>
      <c r="E3" s="21"/>
    </row>
    <row r="4" customFormat="false" ht="15" hidden="false" customHeight="true" outlineLevel="0" collapsed="false">
      <c r="A4" s="21"/>
      <c r="B4" s="21"/>
      <c r="C4" s="21"/>
      <c r="D4" s="21"/>
      <c r="E4" s="21"/>
    </row>
    <row r="6" customFormat="false" ht="30" hidden="false" customHeight="true" outlineLevel="0" collapsed="false">
      <c r="A6" s="6" t="s">
        <v>267</v>
      </c>
      <c r="B6" s="6" t="s">
        <v>268</v>
      </c>
      <c r="C6" s="6" t="s">
        <v>269</v>
      </c>
      <c r="D6" s="6" t="s">
        <v>270</v>
      </c>
      <c r="E6" s="6" t="s">
        <v>115</v>
      </c>
    </row>
    <row r="7" customFormat="false" ht="15" hidden="false" customHeight="true" outlineLevel="0" collapsed="false">
      <c r="A7" s="3" t="s">
        <v>271</v>
      </c>
      <c r="B7" s="43" t="n">
        <f aca="false">Assumptions!B15</f>
        <v>2500</v>
      </c>
      <c r="C7" s="43" t="n">
        <f aca="false">Assumptions!B16</f>
        <v>15000</v>
      </c>
      <c r="D7" s="43" t="n">
        <f aca="false">Assumptions!B17</f>
        <v>55000</v>
      </c>
      <c r="E7" s="9"/>
    </row>
    <row r="8" customFormat="false" ht="15" hidden="false" customHeight="true" outlineLevel="0" collapsed="false">
      <c r="A8" s="5" t="s">
        <v>323</v>
      </c>
      <c r="B8" s="43" t="n">
        <f aca="false">B7/2</f>
        <v>1250</v>
      </c>
      <c r="C8" s="43" t="n">
        <f aca="false">(B7+C7)/2</f>
        <v>8750</v>
      </c>
      <c r="D8" s="43" t="n">
        <f aca="false">(C7+D7)/2</f>
        <v>35000</v>
      </c>
      <c r="E8" s="9"/>
    </row>
    <row r="9" customFormat="false" ht="15" hidden="false" customHeight="true" outlineLevel="0" collapsed="false">
      <c r="A9" s="3" t="s">
        <v>324</v>
      </c>
      <c r="B9" s="10" t="n">
        <v>0.08</v>
      </c>
      <c r="C9" s="10" t="n">
        <v>0.12</v>
      </c>
      <c r="D9" s="10" t="n">
        <v>0.15</v>
      </c>
      <c r="E9" s="9" t="s">
        <v>325</v>
      </c>
    </row>
    <row r="10" customFormat="false" ht="15" hidden="false" customHeight="true" outlineLevel="0" collapsed="false">
      <c r="A10" s="5" t="s">
        <v>326</v>
      </c>
      <c r="B10" s="17" t="n">
        <v>2.2</v>
      </c>
      <c r="C10" s="17" t="n">
        <v>2.6</v>
      </c>
      <c r="D10" s="17" t="n">
        <v>3</v>
      </c>
      <c r="E10" s="9" t="s">
        <v>327</v>
      </c>
    </row>
    <row r="11" customFormat="false" ht="15" hidden="false" customHeight="true" outlineLevel="0" collapsed="false">
      <c r="A11" s="3" t="s">
        <v>328</v>
      </c>
      <c r="B11" s="20" t="n">
        <v>19</v>
      </c>
      <c r="C11" s="20" t="n">
        <v>19</v>
      </c>
      <c r="D11" s="20" t="n">
        <v>22</v>
      </c>
      <c r="E11" s="9" t="s">
        <v>329</v>
      </c>
    </row>
    <row r="12" customFormat="false" ht="15" hidden="false" customHeight="true" outlineLevel="0" collapsed="false">
      <c r="A12" s="3" t="s">
        <v>279</v>
      </c>
      <c r="B12" s="44" t="n">
        <f aca="false">B8*B9*B10*B11*'Price Elasticity'!$C$22*(1-Assumptions!$B$39)</f>
        <v>2646.985</v>
      </c>
      <c r="C12" s="44" t="n">
        <f aca="false">C8*C9*C10*C11*'Price Elasticity'!$C$22*(1-Assumptions!$B$39)</f>
        <v>32846.6775</v>
      </c>
      <c r="D12" s="44" t="n">
        <f aca="false">D8*D9*D10*D11*'Price Elasticity'!$C$22*(1-Assumptions!$B$39)</f>
        <v>219421.125</v>
      </c>
      <c r="E12" s="9"/>
    </row>
    <row r="14" customFormat="false" ht="15" hidden="false" customHeight="true" outlineLevel="0" collapsed="false">
      <c r="A14" s="7" t="s">
        <v>280</v>
      </c>
      <c r="B14" s="7"/>
      <c r="C14" s="7"/>
      <c r="D14" s="7"/>
      <c r="E14" s="7"/>
    </row>
    <row r="15" customFormat="false" ht="15" hidden="false" customHeight="true" outlineLevel="0" collapsed="false">
      <c r="A15" s="5" t="s">
        <v>330</v>
      </c>
      <c r="B15" s="11" t="n">
        <f aca="false">B8*'Cost to Serve'!$B$38</f>
        <v>148.83</v>
      </c>
      <c r="C15" s="11" t="n">
        <f aca="false">C8*'Cost to Serve'!$B$38</f>
        <v>1041.81</v>
      </c>
      <c r="D15" s="11" t="n">
        <f aca="false">D8*'Cost to Serve'!$B$38</f>
        <v>4167.24</v>
      </c>
      <c r="E15" s="9" t="s">
        <v>331</v>
      </c>
    </row>
    <row r="16" customFormat="false" ht="15" hidden="false" customHeight="true" outlineLevel="0" collapsed="false">
      <c r="A16" s="5" t="s">
        <v>285</v>
      </c>
      <c r="B16" s="11" t="n">
        <f aca="false">(Assumptions!$B$40+Assumptions!$B$41)*12</f>
        <v>7680</v>
      </c>
      <c r="C16" s="11" t="n">
        <f aca="false">(Assumptions!$B$40+Assumptions!$B$41)*12</f>
        <v>7680</v>
      </c>
      <c r="D16" s="11" t="n">
        <f aca="false">(Assumptions!$B$40+Assumptions!$B$41)*12</f>
        <v>7680</v>
      </c>
      <c r="E16" s="9"/>
    </row>
    <row r="17" customFormat="false" ht="15" hidden="false" customHeight="true" outlineLevel="0" collapsed="false">
      <c r="A17" s="5" t="s">
        <v>287</v>
      </c>
      <c r="B17" s="11" t="n">
        <f aca="false">B7*Assumptions!$B$42</f>
        <v>30000</v>
      </c>
      <c r="C17" s="11" t="n">
        <f aca="false">(C7-B7)*Assumptions!$B$42</f>
        <v>150000</v>
      </c>
      <c r="D17" s="11" t="n">
        <f aca="false">(D7-C7)*Assumptions!$B$42</f>
        <v>480000</v>
      </c>
      <c r="E17" s="9"/>
    </row>
    <row r="18" customFormat="false" ht="15" hidden="false" customHeight="true" outlineLevel="0" collapsed="false">
      <c r="A18" s="5" t="s">
        <v>332</v>
      </c>
      <c r="B18" s="8" t="n">
        <v>6000</v>
      </c>
      <c r="C18" s="8" t="n">
        <v>14000</v>
      </c>
      <c r="D18" s="8" t="n">
        <v>22000</v>
      </c>
      <c r="E18" s="9" t="s">
        <v>333</v>
      </c>
    </row>
    <row r="19" customFormat="false" ht="15" hidden="false" customHeight="true" outlineLevel="0" collapsed="false">
      <c r="A19" s="3" t="s">
        <v>291</v>
      </c>
      <c r="B19" s="11" t="n">
        <f aca="false">B15+B16+B17+B18</f>
        <v>43828.83</v>
      </c>
      <c r="C19" s="11" t="n">
        <f aca="false">C15+C16+C17+C18</f>
        <v>172721.81</v>
      </c>
      <c r="D19" s="11" t="n">
        <f aca="false">D15+D16+D17+D18</f>
        <v>513847.24</v>
      </c>
      <c r="E19" s="9"/>
    </row>
    <row r="21" customFormat="false" ht="15" hidden="false" customHeight="true" outlineLevel="0" collapsed="false">
      <c r="A21" s="3" t="s">
        <v>292</v>
      </c>
      <c r="B21" s="44" t="n">
        <f aca="false">B12-B15</f>
        <v>2498.155</v>
      </c>
      <c r="C21" s="44" t="n">
        <f aca="false">C12-C15</f>
        <v>31804.8675</v>
      </c>
      <c r="D21" s="44" t="n">
        <f aca="false">D12-D15</f>
        <v>215253.885</v>
      </c>
      <c r="E21" s="9"/>
    </row>
    <row r="22" customFormat="false" ht="15" hidden="false" customHeight="true" outlineLevel="0" collapsed="false">
      <c r="A22" s="3" t="s">
        <v>293</v>
      </c>
      <c r="B22" s="18" t="n">
        <f aca="false">IFERROR(B21/B12,0)</f>
        <v>0.94377376524612</v>
      </c>
      <c r="C22" s="18" t="n">
        <f aca="false">IFERROR(C21/C12,0)</f>
        <v>0.968282636805503</v>
      </c>
      <c r="D22" s="18" t="n">
        <f aca="false">IFERROR(D21/D12,0)</f>
        <v>0.981008027372023</v>
      </c>
      <c r="E22" s="9"/>
    </row>
    <row r="23" customFormat="false" ht="15" hidden="false" customHeight="true" outlineLevel="0" collapsed="false">
      <c r="A23" s="3" t="s">
        <v>294</v>
      </c>
      <c r="B23" s="11" t="n">
        <f aca="false">B12-B19</f>
        <v>-41181.845</v>
      </c>
      <c r="C23" s="11" t="n">
        <f aca="false">C12-C19</f>
        <v>-139875.1325</v>
      </c>
      <c r="D23" s="11" t="n">
        <f aca="false">D12-D19</f>
        <v>-294426.115</v>
      </c>
      <c r="E23" s="9"/>
    </row>
  </sheetData>
  <mergeCells count="3">
    <mergeCell ref="A1:E1"/>
    <mergeCell ref="A3:E4"/>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20"/>
    <col collapsed="false" customWidth="true" hidden="false" outlineLevel="0" max="5" min="5" style="1" width="62"/>
  </cols>
  <sheetData>
    <row r="1" customFormat="false" ht="17.25" hidden="false" customHeight="true" outlineLevel="0" collapsed="false">
      <c r="A1" s="2" t="s">
        <v>334</v>
      </c>
      <c r="B1" s="2"/>
      <c r="C1" s="2"/>
      <c r="D1" s="2"/>
      <c r="E1" s="2"/>
    </row>
    <row r="3" customFormat="false" ht="30" hidden="false" customHeight="true" outlineLevel="0" collapsed="false">
      <c r="A3" s="6" t="s">
        <v>335</v>
      </c>
      <c r="B3" s="6" t="s">
        <v>336</v>
      </c>
      <c r="C3" s="6" t="s">
        <v>337</v>
      </c>
      <c r="D3" s="6" t="s">
        <v>338</v>
      </c>
      <c r="E3" s="6" t="s">
        <v>167</v>
      </c>
    </row>
    <row r="4" customFormat="false" ht="15" hidden="false" customHeight="true" outlineLevel="0" collapsed="false">
      <c r="A4" s="3" t="s">
        <v>339</v>
      </c>
      <c r="B4" s="47" t="n">
        <f aca="false">'Model A Metered Freemium'!D11</f>
        <v>92816.2643265</v>
      </c>
      <c r="C4" s="47" t="n">
        <f aca="false">'Model B Institutional'!D12</f>
        <v>342720</v>
      </c>
      <c r="D4" s="47" t="n">
        <f aca="false">'Model C Assessment'!D12</f>
        <v>219421.125</v>
      </c>
      <c r="E4" s="9" t="s">
        <v>340</v>
      </c>
    </row>
    <row r="5" customFormat="false" ht="15" hidden="false" customHeight="true" outlineLevel="0" collapsed="false">
      <c r="A5" s="3" t="s">
        <v>341</v>
      </c>
      <c r="B5" s="47" t="n">
        <f aca="false">'Model A Metered Freemium'!D21</f>
        <v>88230.283959</v>
      </c>
      <c r="C5" s="47" t="n">
        <f aca="false">'Model B Institutional'!D21</f>
        <v>339919.01064</v>
      </c>
      <c r="D5" s="47" t="n">
        <f aca="false">'Model C Assessment'!D21</f>
        <v>215253.885</v>
      </c>
      <c r="E5" s="9" t="s">
        <v>342</v>
      </c>
    </row>
    <row r="6" customFormat="false" ht="15" hidden="false" customHeight="true" outlineLevel="0" collapsed="false">
      <c r="A6" s="3" t="s">
        <v>343</v>
      </c>
      <c r="B6" s="25" t="n">
        <f aca="false">'Model A Metered Freemium'!D22</f>
        <v>0.95059076767658</v>
      </c>
      <c r="C6" s="25" t="n">
        <f aca="false">'Model B Institutional'!D22</f>
        <v>0.991827178571429</v>
      </c>
      <c r="D6" s="25" t="n">
        <f aca="false">'Model C Assessment'!D22</f>
        <v>0.981008027372023</v>
      </c>
      <c r="E6" s="9" t="s">
        <v>344</v>
      </c>
    </row>
    <row r="7" customFormat="false" ht="15" hidden="false" customHeight="true" outlineLevel="0" collapsed="false">
      <c r="A7" s="3" t="s">
        <v>345</v>
      </c>
      <c r="B7" s="47" t="n">
        <f aca="false">'Model A Metered Freemium'!D23</f>
        <v>-399449.716041</v>
      </c>
      <c r="C7" s="47" t="n">
        <f aca="false">'Model B Institutional'!D23</f>
        <v>224239.01064</v>
      </c>
      <c r="D7" s="47" t="n">
        <f aca="false">'Model C Assessment'!D23</f>
        <v>-294426.115</v>
      </c>
      <c r="E7" s="9" t="s">
        <v>346</v>
      </c>
    </row>
    <row r="8" customFormat="false" ht="15" hidden="false" customHeight="true" outlineLevel="0" collapsed="false">
      <c r="A8" s="3" t="s">
        <v>347</v>
      </c>
      <c r="B8" s="47" t="n">
        <f aca="false">'Model A Metered Freemium'!B23</f>
        <v>-33624.863907375</v>
      </c>
      <c r="C8" s="47" t="n">
        <f aca="false">'Model B Institutional'!B23</f>
        <v>-27824.56182</v>
      </c>
      <c r="D8" s="47" t="n">
        <f aca="false">'Model C Assessment'!B23</f>
        <v>-41181.845</v>
      </c>
      <c r="E8" s="9" t="s">
        <v>348</v>
      </c>
    </row>
    <row r="10" customFormat="false" ht="15" hidden="false" customHeight="true" outlineLevel="0" collapsed="false">
      <c r="A10" s="7" t="s">
        <v>349</v>
      </c>
      <c r="B10" s="7"/>
      <c r="C10" s="7"/>
      <c r="D10" s="7"/>
      <c r="E10" s="7"/>
    </row>
    <row r="11" customFormat="false" ht="30" hidden="false" customHeight="true" outlineLevel="0" collapsed="false">
      <c r="A11" s="6" t="s">
        <v>350</v>
      </c>
      <c r="B11" s="6" t="s">
        <v>351</v>
      </c>
      <c r="C11" s="6" t="s">
        <v>352</v>
      </c>
      <c r="D11" s="6" t="s">
        <v>353</v>
      </c>
      <c r="E11" s="6" t="s">
        <v>354</v>
      </c>
    </row>
    <row r="12" customFormat="false" ht="15" hidden="false" customHeight="true" outlineLevel="0" collapsed="false">
      <c r="A12" s="5" t="s">
        <v>355</v>
      </c>
      <c r="B12" s="48" t="n">
        <v>5</v>
      </c>
      <c r="C12" s="48" t="n">
        <v>2</v>
      </c>
      <c r="D12" s="48" t="n">
        <v>4</v>
      </c>
      <c r="E12" s="9" t="s">
        <v>356</v>
      </c>
    </row>
    <row r="13" customFormat="false" ht="15" hidden="false" customHeight="true" outlineLevel="0" collapsed="false">
      <c r="A13" s="5" t="s">
        <v>357</v>
      </c>
      <c r="B13" s="48" t="n">
        <v>3</v>
      </c>
      <c r="C13" s="48" t="n">
        <v>4</v>
      </c>
      <c r="D13" s="48" t="n">
        <v>5</v>
      </c>
      <c r="E13" s="9" t="s">
        <v>358</v>
      </c>
    </row>
    <row r="14" customFormat="false" ht="15" hidden="false" customHeight="true" outlineLevel="0" collapsed="false">
      <c r="A14" s="5" t="s">
        <v>359</v>
      </c>
      <c r="B14" s="48" t="n">
        <v>3</v>
      </c>
      <c r="C14" s="48" t="n">
        <v>5</v>
      </c>
      <c r="D14" s="48" t="n">
        <v>3</v>
      </c>
      <c r="E14" s="9" t="s">
        <v>360</v>
      </c>
    </row>
    <row r="15" customFormat="false" ht="15" hidden="false" customHeight="true" outlineLevel="0" collapsed="false">
      <c r="A15" s="5" t="s">
        <v>361</v>
      </c>
      <c r="B15" s="48" t="n">
        <v>4</v>
      </c>
      <c r="C15" s="48" t="n">
        <v>3</v>
      </c>
      <c r="D15" s="48" t="n">
        <v>2</v>
      </c>
      <c r="E15" s="9" t="s">
        <v>362</v>
      </c>
    </row>
    <row r="16" customFormat="false" ht="15" hidden="false" customHeight="true" outlineLevel="0" collapsed="false">
      <c r="A16" s="5" t="s">
        <v>363</v>
      </c>
      <c r="B16" s="48" t="n">
        <v>5</v>
      </c>
      <c r="C16" s="48" t="n">
        <v>2</v>
      </c>
      <c r="D16" s="48" t="n">
        <v>4</v>
      </c>
      <c r="E16" s="9" t="s">
        <v>364</v>
      </c>
    </row>
    <row r="17" customFormat="false" ht="15" hidden="false" customHeight="true" outlineLevel="0" collapsed="false">
      <c r="A17" s="5" t="s">
        <v>365</v>
      </c>
      <c r="B17" s="48" t="n">
        <v>4</v>
      </c>
      <c r="C17" s="48" t="n">
        <v>5</v>
      </c>
      <c r="D17" s="48" t="n">
        <v>3</v>
      </c>
      <c r="E17" s="9" t="s">
        <v>366</v>
      </c>
    </row>
    <row r="18" customFormat="false" ht="15" hidden="false" customHeight="true" outlineLevel="0" collapsed="false">
      <c r="A18" s="5" t="s">
        <v>367</v>
      </c>
      <c r="B18" s="48" t="n">
        <v>5</v>
      </c>
      <c r="C18" s="48" t="n">
        <v>2</v>
      </c>
      <c r="D18" s="48" t="n">
        <v>3</v>
      </c>
      <c r="E18" s="9" t="s">
        <v>368</v>
      </c>
    </row>
    <row r="19" customFormat="false" ht="15" hidden="false" customHeight="true" outlineLevel="0" collapsed="false">
      <c r="A19" s="3" t="s">
        <v>369</v>
      </c>
      <c r="B19" s="49" t="n">
        <f aca="false">SUM(B12:B18)</f>
        <v>29</v>
      </c>
      <c r="C19" s="49" t="n">
        <f aca="false">SUM(C12:C18)</f>
        <v>23</v>
      </c>
      <c r="D19" s="49" t="n">
        <f aca="false">SUM(D12:D18)</f>
        <v>24</v>
      </c>
    </row>
    <row r="21" customFormat="false" ht="15" hidden="false" customHeight="true" outlineLevel="0" collapsed="false">
      <c r="A21" s="7" t="s">
        <v>370</v>
      </c>
      <c r="B21" s="7"/>
      <c r="C21" s="7"/>
      <c r="D21" s="7"/>
      <c r="E21" s="7"/>
    </row>
    <row r="22" customFormat="false" ht="30" hidden="false" customHeight="true" outlineLevel="0" collapsed="false">
      <c r="A22" s="3" t="s">
        <v>371</v>
      </c>
      <c r="B22" s="36" t="s">
        <v>372</v>
      </c>
      <c r="C22" s="36"/>
      <c r="D22" s="36"/>
      <c r="E22" s="36"/>
    </row>
    <row r="23" customFormat="false" ht="51.75" hidden="false" customHeight="true" outlineLevel="0" collapsed="false">
      <c r="A23" s="3" t="s">
        <v>373</v>
      </c>
      <c r="B23" s="36" t="s">
        <v>374</v>
      </c>
      <c r="C23" s="36"/>
      <c r="D23" s="36"/>
      <c r="E23" s="36"/>
    </row>
    <row r="24" customFormat="false" ht="39" hidden="false" customHeight="true" outlineLevel="0" collapsed="false">
      <c r="A24" s="3" t="s">
        <v>375</v>
      </c>
      <c r="B24" s="36" t="s">
        <v>376</v>
      </c>
      <c r="C24" s="36"/>
      <c r="D24" s="36"/>
      <c r="E24" s="36"/>
    </row>
    <row r="25" customFormat="false" ht="39" hidden="false" customHeight="true" outlineLevel="0" collapsed="false">
      <c r="A25" s="3" t="s">
        <v>377</v>
      </c>
      <c r="B25" s="36" t="s">
        <v>378</v>
      </c>
      <c r="C25" s="36"/>
      <c r="D25" s="36"/>
      <c r="E25" s="36"/>
    </row>
    <row r="26" customFormat="false" ht="39" hidden="false" customHeight="true" outlineLevel="0" collapsed="false">
      <c r="A26" s="3" t="s">
        <v>379</v>
      </c>
      <c r="B26" s="36" t="s">
        <v>380</v>
      </c>
      <c r="C26" s="36"/>
      <c r="D26" s="36"/>
      <c r="E26" s="36"/>
    </row>
    <row r="27" customFormat="false" ht="39" hidden="false" customHeight="true" outlineLevel="0" collapsed="false">
      <c r="A27" s="3" t="s">
        <v>381</v>
      </c>
      <c r="B27" s="36" t="s">
        <v>382</v>
      </c>
      <c r="C27" s="36"/>
      <c r="D27" s="36"/>
      <c r="E27" s="36"/>
    </row>
    <row r="29" customFormat="false" ht="15" hidden="false" customHeight="true" outlineLevel="0" collapsed="false">
      <c r="A29" s="7" t="s">
        <v>383</v>
      </c>
      <c r="B29" s="7"/>
      <c r="C29" s="7"/>
      <c r="D29" s="7"/>
      <c r="E29" s="7"/>
    </row>
    <row r="30" customFormat="false" ht="51.75" hidden="false" customHeight="true" outlineLevel="0" collapsed="false">
      <c r="A30" s="36" t="s">
        <v>384</v>
      </c>
      <c r="B30" s="36"/>
      <c r="C30" s="36"/>
      <c r="D30" s="36"/>
      <c r="E30" s="36"/>
    </row>
    <row r="31" customFormat="false" ht="15" hidden="false" customHeight="true" outlineLevel="0" collapsed="false">
      <c r="A31" s="36"/>
      <c r="B31" s="36"/>
      <c r="C31" s="36"/>
      <c r="D31" s="36"/>
      <c r="E31" s="36"/>
    </row>
    <row r="32" customFormat="false" ht="15" hidden="false" customHeight="true" outlineLevel="0" collapsed="false">
      <c r="A32" s="36"/>
      <c r="B32" s="36"/>
      <c r="C32" s="36"/>
      <c r="D32" s="36"/>
      <c r="E32" s="36"/>
    </row>
    <row r="33" customFormat="false" ht="15" hidden="false" customHeight="true" outlineLevel="0" collapsed="false">
      <c r="A33" s="36"/>
      <c r="B33" s="36"/>
      <c r="C33" s="36"/>
      <c r="D33" s="36"/>
      <c r="E33" s="36"/>
    </row>
    <row r="35" customFormat="false" ht="15" hidden="false" customHeight="true" outlineLevel="0" collapsed="false">
      <c r="A35" s="7" t="s">
        <v>385</v>
      </c>
      <c r="B35" s="7"/>
      <c r="C35" s="7"/>
      <c r="D35" s="7"/>
      <c r="E35" s="7"/>
    </row>
    <row r="36" customFormat="false" ht="15" hidden="false" customHeight="true" outlineLevel="0" collapsed="false">
      <c r="A36" s="50" t="s">
        <v>267</v>
      </c>
      <c r="B36" s="50" t="s">
        <v>386</v>
      </c>
      <c r="C36" s="50" t="s">
        <v>387</v>
      </c>
      <c r="D36" s="50" t="s">
        <v>388</v>
      </c>
      <c r="E36" s="50" t="s">
        <v>167</v>
      </c>
    </row>
    <row r="37" customFormat="false" ht="15" hidden="false" customHeight="true" outlineLevel="0" collapsed="false">
      <c r="A37" s="3" t="s">
        <v>389</v>
      </c>
      <c r="B37" s="51"/>
      <c r="C37" s="33" t="n">
        <f aca="false">'Price Elasticity'!B57</f>
        <v>0.852307294090909</v>
      </c>
      <c r="E37" s="9" t="s">
        <v>390</v>
      </c>
    </row>
    <row r="38" customFormat="false" ht="15" hidden="false" customHeight="true" outlineLevel="0" collapsed="false">
      <c r="A38" s="3" t="s">
        <v>391</v>
      </c>
      <c r="B38" s="45" t="n">
        <f aca="false">'Model A Metered Freemium'!D17</f>
        <v>480000</v>
      </c>
      <c r="C38" s="44" t="n">
        <f aca="false">(Assumptions!B17-Assumptions!B16)*'Price Elasticity'!B57</f>
        <v>34092.2917636364</v>
      </c>
      <c r="D38" s="11" t="n">
        <f aca="false">C38-B38</f>
        <v>-445907.708236364</v>
      </c>
      <c r="E38" s="9" t="s">
        <v>392</v>
      </c>
    </row>
    <row r="39" customFormat="false" ht="15" hidden="false" customHeight="true" outlineLevel="0" collapsed="false">
      <c r="A39" s="3" t="s">
        <v>345</v>
      </c>
      <c r="B39" s="45" t="n">
        <f aca="false">'Model A Metered Freemium'!D23</f>
        <v>-399449.716041</v>
      </c>
      <c r="C39" s="44" t="n">
        <f aca="false">'Model A Metered Freemium'!D11-'Model A Metered Freemium'!D14-'Model A Metered Freemium'!D16-((Assumptions!B17-Assumptions!B16)*'Price Elasticity'!B57)-'Model A Metered Freemium'!D18</f>
        <v>46457.9921953636</v>
      </c>
      <c r="D39" s="11" t="n">
        <f aca="false">C39-B39</f>
        <v>445907.708236364</v>
      </c>
      <c r="E39" s="9" t="s">
        <v>393</v>
      </c>
    </row>
    <row r="41" customFormat="false" ht="15" hidden="false" customHeight="true" outlineLevel="0" collapsed="false">
      <c r="A41" s="7" t="s">
        <v>394</v>
      </c>
      <c r="B41" s="7"/>
      <c r="C41" s="7"/>
      <c r="D41" s="7"/>
      <c r="E41" s="7"/>
    </row>
    <row r="42" customFormat="false" ht="51.75" hidden="false" customHeight="true" outlineLevel="0" collapsed="false">
      <c r="A42" s="3" t="s">
        <v>395</v>
      </c>
      <c r="B42" s="36" t="s">
        <v>396</v>
      </c>
      <c r="C42" s="36"/>
      <c r="D42" s="36"/>
      <c r="E42" s="36"/>
    </row>
    <row r="43" customFormat="false" ht="51.75" hidden="false" customHeight="true" outlineLevel="0" collapsed="false">
      <c r="A43" s="3" t="s">
        <v>397</v>
      </c>
      <c r="B43" s="36" t="s">
        <v>398</v>
      </c>
      <c r="C43" s="36"/>
      <c r="D43" s="36"/>
      <c r="E43" s="36"/>
    </row>
    <row r="44" customFormat="false" ht="39" hidden="false" customHeight="true" outlineLevel="0" collapsed="false">
      <c r="A44" s="3" t="s">
        <v>399</v>
      </c>
      <c r="B44" s="36" t="s">
        <v>400</v>
      </c>
      <c r="C44" s="36"/>
      <c r="D44" s="36"/>
      <c r="E44" s="36"/>
    </row>
    <row r="45" customFormat="false" ht="30" hidden="false" customHeight="true" outlineLevel="0" collapsed="false">
      <c r="A45" s="3" t="s">
        <v>401</v>
      </c>
      <c r="B45" s="36" t="s">
        <v>402</v>
      </c>
      <c r="C45" s="36"/>
      <c r="D45" s="36"/>
      <c r="E45" s="36"/>
    </row>
    <row r="46" customFormat="false" ht="39" hidden="false" customHeight="true" outlineLevel="0" collapsed="false">
      <c r="A46" s="3" t="s">
        <v>403</v>
      </c>
      <c r="B46" s="36" t="s">
        <v>404</v>
      </c>
      <c r="C46" s="36"/>
      <c r="D46" s="36"/>
      <c r="E46" s="36"/>
    </row>
  </sheetData>
  <mergeCells count="18">
    <mergeCell ref="A1:E1"/>
    <mergeCell ref="A10:E10"/>
    <mergeCell ref="A21:E21"/>
    <mergeCell ref="B22:E22"/>
    <mergeCell ref="B23:E23"/>
    <mergeCell ref="B24:E24"/>
    <mergeCell ref="B25:E25"/>
    <mergeCell ref="B26:E26"/>
    <mergeCell ref="B27:E27"/>
    <mergeCell ref="A29:E29"/>
    <mergeCell ref="A30:E33"/>
    <mergeCell ref="A35:E35"/>
    <mergeCell ref="A41:E41"/>
    <mergeCell ref="B42:E42"/>
    <mergeCell ref="B43:E43"/>
    <mergeCell ref="B44:E44"/>
    <mergeCell ref="B45:E45"/>
    <mergeCell ref="B46:E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4" min="2" style="1" width="18"/>
    <col collapsed="false" customWidth="true" hidden="false" outlineLevel="0" max="5" min="5" style="1" width="62"/>
  </cols>
  <sheetData>
    <row r="1" customFormat="false" ht="17.25" hidden="false" customHeight="true" outlineLevel="0" collapsed="false">
      <c r="A1" s="2" t="s">
        <v>405</v>
      </c>
      <c r="B1" s="2"/>
      <c r="C1" s="2"/>
      <c r="D1" s="2"/>
      <c r="E1" s="2"/>
    </row>
    <row r="3" customFormat="false" ht="15" hidden="false" customHeight="true" outlineLevel="0" collapsed="false">
      <c r="A3" s="21" t="s">
        <v>406</v>
      </c>
      <c r="B3" s="21"/>
      <c r="C3" s="21"/>
      <c r="D3" s="21"/>
      <c r="E3" s="21"/>
    </row>
    <row r="4" customFormat="false" ht="15" hidden="false" customHeight="true" outlineLevel="0" collapsed="false">
      <c r="A4" s="21"/>
      <c r="B4" s="21"/>
      <c r="C4" s="21"/>
      <c r="D4" s="21"/>
      <c r="E4" s="21"/>
    </row>
    <row r="6" customFormat="false" ht="30" hidden="false" customHeight="true" outlineLevel="0" collapsed="false">
      <c r="A6" s="6" t="s">
        <v>34</v>
      </c>
      <c r="B6" s="6" t="s">
        <v>407</v>
      </c>
      <c r="C6" s="6" t="s">
        <v>408</v>
      </c>
      <c r="D6" s="6" t="s">
        <v>409</v>
      </c>
    </row>
    <row r="7" customFormat="false" ht="15" hidden="false" customHeight="true" outlineLevel="0" collapsed="false">
      <c r="A7" s="5" t="s">
        <v>410</v>
      </c>
      <c r="B7" s="24" t="n">
        <v>2</v>
      </c>
      <c r="C7" s="52" t="n">
        <f aca="false">'Price Elasticity'!B27</f>
        <v>1.4</v>
      </c>
      <c r="D7" s="24" t="n">
        <v>1</v>
      </c>
    </row>
    <row r="8" customFormat="false" ht="15" hidden="false" customHeight="true" outlineLevel="0" collapsed="false">
      <c r="A8" s="5" t="s">
        <v>66</v>
      </c>
      <c r="B8" s="53" t="n">
        <v>0.015</v>
      </c>
      <c r="C8" s="28" t="n">
        <f aca="false">Assumptions!B20</f>
        <v>0.02925</v>
      </c>
      <c r="D8" s="53" t="n">
        <v>0.045</v>
      </c>
    </row>
    <row r="9" customFormat="false" ht="15" hidden="false" customHeight="true" outlineLevel="0" collapsed="false">
      <c r="A9" s="5" t="s">
        <v>411</v>
      </c>
      <c r="B9" s="14" t="n">
        <v>0.08</v>
      </c>
      <c r="C9" s="25" t="n">
        <f aca="false">Assumptions!B23</f>
        <v>0.055</v>
      </c>
      <c r="D9" s="14" t="n">
        <v>0.035</v>
      </c>
    </row>
    <row r="10" customFormat="false" ht="15" hidden="false" customHeight="true" outlineLevel="0" collapsed="false">
      <c r="A10" s="5" t="s">
        <v>102</v>
      </c>
      <c r="B10" s="22" t="n">
        <v>25</v>
      </c>
      <c r="C10" s="27" t="n">
        <f aca="false">Assumptions!B42</f>
        <v>12</v>
      </c>
      <c r="D10" s="22" t="n">
        <v>6</v>
      </c>
    </row>
    <row r="11" customFormat="false" ht="15" hidden="false" customHeight="true" outlineLevel="0" collapsed="false">
      <c r="A11" s="5" t="s">
        <v>412</v>
      </c>
      <c r="B11" s="14" t="n">
        <v>0.25</v>
      </c>
      <c r="C11" s="25" t="n">
        <f aca="false">Assumptions!B34</f>
        <v>0.45</v>
      </c>
      <c r="D11" s="14" t="n">
        <v>0.65</v>
      </c>
    </row>
    <row r="12" customFormat="false" ht="15" hidden="false" customHeight="true" outlineLevel="0" collapsed="false">
      <c r="A12" s="5" t="s">
        <v>413</v>
      </c>
      <c r="B12" s="40" t="n">
        <v>3000</v>
      </c>
      <c r="C12" s="54" t="n">
        <f aca="false">'Cost to Serve'!B13</f>
        <v>8000</v>
      </c>
      <c r="D12" s="40" t="n">
        <v>15000</v>
      </c>
    </row>
    <row r="13" customFormat="false" ht="15" hidden="false" customHeight="true" outlineLevel="0" collapsed="false">
      <c r="A13" s="5" t="s">
        <v>414</v>
      </c>
      <c r="B13" s="40" t="n">
        <v>25</v>
      </c>
      <c r="C13" s="54" t="n">
        <f aca="false">Assumptions!B27</f>
        <v>12</v>
      </c>
      <c r="D13" s="40" t="n">
        <v>6</v>
      </c>
    </row>
    <row r="15" customFormat="false" ht="15" hidden="false" customHeight="true" outlineLevel="0" collapsed="false">
      <c r="A15" s="7" t="s">
        <v>415</v>
      </c>
      <c r="B15" s="7"/>
      <c r="C15" s="7"/>
      <c r="D15" s="7"/>
      <c r="E15" s="7"/>
    </row>
    <row r="16" customFormat="false" ht="15" hidden="false" customHeight="true" outlineLevel="0" collapsed="false">
      <c r="A16" s="55" t="s">
        <v>416</v>
      </c>
      <c r="B16" s="55"/>
      <c r="C16" s="55"/>
      <c r="D16" s="55"/>
      <c r="E16" s="55"/>
    </row>
    <row r="17" customFormat="false" ht="15" hidden="false" customHeight="true" outlineLevel="0" collapsed="false">
      <c r="A17" s="55" t="s">
        <v>417</v>
      </c>
      <c r="B17" s="55"/>
      <c r="C17" s="55"/>
      <c r="D17" s="55"/>
      <c r="E17" s="55"/>
    </row>
    <row r="18" customFormat="false" ht="15" hidden="false" customHeight="true" outlineLevel="0" collapsed="false">
      <c r="A18" s="55" t="s">
        <v>418</v>
      </c>
      <c r="B18" s="55"/>
      <c r="C18" s="55"/>
      <c r="D18" s="55"/>
      <c r="E18" s="55"/>
    </row>
    <row r="19" customFormat="false" ht="15" hidden="false" customHeight="true" outlineLevel="0" collapsed="false">
      <c r="A19" s="55" t="s">
        <v>419</v>
      </c>
      <c r="B19" s="55"/>
      <c r="C19" s="55"/>
      <c r="D19" s="55"/>
      <c r="E19" s="55"/>
    </row>
    <row r="20" customFormat="false" ht="15" hidden="false" customHeight="true" outlineLevel="0" collapsed="false">
      <c r="A20" s="55"/>
      <c r="B20" s="55"/>
      <c r="C20" s="55"/>
      <c r="D20" s="55"/>
      <c r="E20" s="55"/>
    </row>
    <row r="21" customFormat="false" ht="15" hidden="false" customHeight="true" outlineLevel="0" collapsed="false">
      <c r="A21" s="56" t="s">
        <v>420</v>
      </c>
      <c r="B21" s="56"/>
      <c r="C21" s="56"/>
      <c r="D21" s="56"/>
      <c r="E21" s="56"/>
    </row>
    <row r="22" customFormat="false" ht="15" hidden="false" customHeight="true" outlineLevel="0" collapsed="false">
      <c r="A22" s="55" t="s">
        <v>421</v>
      </c>
      <c r="B22" s="55"/>
      <c r="C22" s="55"/>
      <c r="D22" s="55"/>
      <c r="E22" s="55"/>
    </row>
    <row r="23" customFormat="false" ht="15" hidden="false" customHeight="true" outlineLevel="0" collapsed="false">
      <c r="A23" s="55" t="s">
        <v>422</v>
      </c>
      <c r="B23" s="55"/>
      <c r="C23" s="55"/>
      <c r="D23" s="55"/>
      <c r="E23" s="55"/>
    </row>
  </sheetData>
  <mergeCells count="11">
    <mergeCell ref="A1:E1"/>
    <mergeCell ref="A3:E4"/>
    <mergeCell ref="A15:E15"/>
    <mergeCell ref="A16:E16"/>
    <mergeCell ref="A17:E17"/>
    <mergeCell ref="A18:E18"/>
    <mergeCell ref="A19:E19"/>
    <mergeCell ref="A20:E20"/>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26"/>
    <col collapsed="false" customWidth="true" hidden="false" outlineLevel="0" max="4" min="4" style="1" width="60"/>
  </cols>
  <sheetData>
    <row r="1" customFormat="false" ht="17.25" hidden="false" customHeight="true" outlineLevel="0" collapsed="false">
      <c r="A1" s="2" t="s">
        <v>423</v>
      </c>
      <c r="B1" s="2"/>
      <c r="C1" s="2"/>
      <c r="D1" s="2"/>
    </row>
    <row r="3" customFormat="false" ht="15" hidden="false" customHeight="true" outlineLevel="0" collapsed="false">
      <c r="A3" s="21" t="s">
        <v>424</v>
      </c>
      <c r="B3" s="21"/>
      <c r="C3" s="21"/>
      <c r="D3" s="21"/>
    </row>
    <row r="4" customFormat="false" ht="15" hidden="false" customHeight="true" outlineLevel="0" collapsed="false">
      <c r="A4" s="21"/>
      <c r="B4" s="21"/>
      <c r="C4" s="21"/>
      <c r="D4" s="21"/>
    </row>
    <row r="6" customFormat="false" ht="30" hidden="false" customHeight="true" outlineLevel="0" collapsed="false">
      <c r="A6" s="6" t="s">
        <v>425</v>
      </c>
      <c r="B6" s="6" t="s">
        <v>35</v>
      </c>
      <c r="C6" s="6" t="s">
        <v>426</v>
      </c>
      <c r="D6" s="6" t="s">
        <v>427</v>
      </c>
    </row>
    <row r="7" customFormat="false" ht="15" hidden="false" customHeight="true" outlineLevel="0" collapsed="false">
      <c r="A7" s="3" t="s">
        <v>428</v>
      </c>
      <c r="B7" s="4" t="s">
        <v>429</v>
      </c>
      <c r="C7" s="4" t="s">
        <v>430</v>
      </c>
      <c r="D7" s="4" t="s">
        <v>431</v>
      </c>
    </row>
    <row r="8" customFormat="false" ht="25.5" hidden="false" customHeight="true" outlineLevel="0" collapsed="false">
      <c r="A8" s="3" t="s">
        <v>432</v>
      </c>
      <c r="B8" s="4" t="s">
        <v>433</v>
      </c>
      <c r="C8" s="4" t="s">
        <v>434</v>
      </c>
      <c r="D8" s="4" t="s">
        <v>435</v>
      </c>
    </row>
    <row r="9" customFormat="false" ht="25.5" hidden="false" customHeight="true" outlineLevel="0" collapsed="false">
      <c r="A9" s="3" t="s">
        <v>436</v>
      </c>
      <c r="B9" s="4" t="s">
        <v>437</v>
      </c>
      <c r="C9" s="4" t="s">
        <v>438</v>
      </c>
      <c r="D9" s="4" t="s">
        <v>439</v>
      </c>
    </row>
    <row r="10" customFormat="false" ht="25.5" hidden="false" customHeight="true" outlineLevel="0" collapsed="false">
      <c r="A10" s="3" t="s">
        <v>440</v>
      </c>
      <c r="B10" s="4" t="s">
        <v>441</v>
      </c>
      <c r="C10" s="4" t="s">
        <v>442</v>
      </c>
      <c r="D10" s="4" t="s">
        <v>443</v>
      </c>
    </row>
    <row r="11" customFormat="false" ht="15" hidden="false" customHeight="true" outlineLevel="0" collapsed="false">
      <c r="A11" s="3" t="s">
        <v>444</v>
      </c>
      <c r="B11" s="4" t="s">
        <v>445</v>
      </c>
      <c r="C11" s="4" t="s">
        <v>446</v>
      </c>
      <c r="D11" s="4" t="s">
        <v>447</v>
      </c>
    </row>
    <row r="12" customFormat="false" ht="15" hidden="false" customHeight="true" outlineLevel="0" collapsed="false">
      <c r="A12" s="3" t="s">
        <v>448</v>
      </c>
      <c r="B12" s="4" t="s">
        <v>449</v>
      </c>
      <c r="C12" s="4" t="s">
        <v>450</v>
      </c>
      <c r="D12" s="4" t="s">
        <v>447</v>
      </c>
    </row>
    <row r="13" customFormat="false" ht="15" hidden="false" customHeight="true" outlineLevel="0" collapsed="false">
      <c r="A13" s="3" t="s">
        <v>451</v>
      </c>
      <c r="B13" s="4" t="s">
        <v>452</v>
      </c>
      <c r="C13" s="4" t="s">
        <v>453</v>
      </c>
      <c r="D13" s="4" t="s">
        <v>454</v>
      </c>
    </row>
    <row r="14" customFormat="false" ht="25.5" hidden="false" customHeight="true" outlineLevel="0" collapsed="false">
      <c r="A14" s="3" t="s">
        <v>455</v>
      </c>
      <c r="B14" s="4" t="s">
        <v>456</v>
      </c>
      <c r="C14" s="4" t="s">
        <v>457</v>
      </c>
      <c r="D14" s="4" t="s">
        <v>458</v>
      </c>
    </row>
    <row r="15" customFormat="false" ht="25.5" hidden="false" customHeight="true" outlineLevel="0" collapsed="false">
      <c r="A15" s="3" t="s">
        <v>459</v>
      </c>
      <c r="B15" s="4" t="s">
        <v>460</v>
      </c>
      <c r="C15" s="4" t="s">
        <v>461</v>
      </c>
      <c r="D15" s="4" t="s">
        <v>462</v>
      </c>
    </row>
    <row r="16" customFormat="false" ht="25.5" hidden="false" customHeight="true" outlineLevel="0" collapsed="false">
      <c r="A16" s="3" t="s">
        <v>463</v>
      </c>
      <c r="B16" s="4" t="s">
        <v>464</v>
      </c>
      <c r="C16" s="4" t="s">
        <v>465</v>
      </c>
      <c r="D16" s="4" t="s">
        <v>462</v>
      </c>
    </row>
    <row r="17" customFormat="false" ht="25.5" hidden="false" customHeight="true" outlineLevel="0" collapsed="false">
      <c r="A17" s="3" t="s">
        <v>466</v>
      </c>
      <c r="B17" s="4" t="s">
        <v>467</v>
      </c>
      <c r="C17" s="4" t="s">
        <v>468</v>
      </c>
      <c r="D17" s="4" t="s">
        <v>462</v>
      </c>
    </row>
    <row r="18" customFormat="false" ht="25.5" hidden="false" customHeight="true" outlineLevel="0" collapsed="false">
      <c r="A18" s="3" t="s">
        <v>469</v>
      </c>
      <c r="B18" s="4" t="s">
        <v>470</v>
      </c>
      <c r="C18" s="4" t="s">
        <v>471</v>
      </c>
      <c r="D18" s="4" t="s">
        <v>472</v>
      </c>
    </row>
    <row r="19" customFormat="false" ht="25.5" hidden="false" customHeight="true" outlineLevel="0" collapsed="false">
      <c r="A19" s="3" t="s">
        <v>473</v>
      </c>
      <c r="B19" s="4" t="s">
        <v>474</v>
      </c>
      <c r="C19" s="4" t="s">
        <v>475</v>
      </c>
      <c r="D19" s="4" t="s">
        <v>476</v>
      </c>
    </row>
    <row r="20" customFormat="false" ht="39" hidden="false" customHeight="true" outlineLevel="0" collapsed="false">
      <c r="A20" s="3" t="s">
        <v>477</v>
      </c>
      <c r="B20" s="4" t="s">
        <v>478</v>
      </c>
      <c r="C20" s="4" t="s">
        <v>479</v>
      </c>
      <c r="D20" s="4" t="s">
        <v>480</v>
      </c>
    </row>
  </sheetData>
  <mergeCells count="2">
    <mergeCell ref="A1:D1"/>
    <mergeCell ref="A3:D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2026-09-12T16:11:45Z</dcterms:created>
  <dc:creator>openpyxl</dc:creator>
  <dc:description/>
  <dc:language>en-US</dc:language>
  <cp:lastModifiedBy/>
  <dcterms:modified xsi:type="dcterms:W3CDTF">2026-09-12T16:19:58Z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